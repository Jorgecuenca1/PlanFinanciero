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geren\OneDrive\Documentos\ARCHIVOS\Documentos\SISTEMA DE INFORMACION COMPLETO\SISTEMA INFORMACION PLAN FINANCIERO\"/>
    </mc:Choice>
  </mc:AlternateContent>
  <xr:revisionPtr revIDLastSave="0" documentId="13_ncr:1_{B59FDACB-CF4F-4188-BD7E-888E6569539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F INICIAL" sheetId="3" r:id="rId1"/>
    <sheet name="PF AJUSTE # 1" sheetId="8" r:id="rId2"/>
    <sheet name="PF AJUSTE 2" sheetId="9" r:id="rId3"/>
    <sheet name="PRUEBAS TD" sheetId="6" r:id="rId4"/>
  </sheets>
  <definedNames>
    <definedName name="\0" localSheetId="1">#REF!</definedName>
    <definedName name="\0" localSheetId="2">#REF!</definedName>
    <definedName name="\0" localSheetId="0">#REF!</definedName>
    <definedName name="\0">#REF!</definedName>
    <definedName name="\c" localSheetId="1">#REF!</definedName>
    <definedName name="\c" localSheetId="2">#REF!</definedName>
    <definedName name="\c" localSheetId="0">#REF!</definedName>
    <definedName name="\c">#REF!</definedName>
    <definedName name="\h" localSheetId="1">#REF!</definedName>
    <definedName name="\h" localSheetId="2">#REF!</definedName>
    <definedName name="\h" localSheetId="0">#REF!</definedName>
    <definedName name="\h">#REF!</definedName>
    <definedName name="\m" localSheetId="1">#REF!</definedName>
    <definedName name="\m" localSheetId="2">#REF!</definedName>
    <definedName name="\m" localSheetId="0">#REF!</definedName>
    <definedName name="\m">#REF!</definedName>
    <definedName name="__123Graph_ATOTAL" localSheetId="1" hidden="1">#REF!</definedName>
    <definedName name="__123Graph_ATOTAL" localSheetId="2" hidden="1">#REF!</definedName>
    <definedName name="__123Graph_ATOTAL" localSheetId="0" hidden="1">#REF!</definedName>
    <definedName name="__123Graph_ATOTAL" hidden="1">#REF!</definedName>
    <definedName name="__123Graph_B" localSheetId="1" hidden="1">#REF!</definedName>
    <definedName name="__123Graph_B" localSheetId="2" hidden="1">#REF!</definedName>
    <definedName name="__123Graph_B" localSheetId="0" hidden="1">#REF!</definedName>
    <definedName name="__123Graph_B" hidden="1">#REF!</definedName>
    <definedName name="__123Graph_D" localSheetId="1" hidden="1">#REF!</definedName>
    <definedName name="__123Graph_D" localSheetId="2" hidden="1">#REF!</definedName>
    <definedName name="__123Graph_D" localSheetId="0" hidden="1">#REF!</definedName>
    <definedName name="__123Graph_D" hidden="1">#REF!</definedName>
    <definedName name="__123Graph_F" localSheetId="1" hidden="1">#REF!</definedName>
    <definedName name="__123Graph_F" localSheetId="2" hidden="1">#REF!</definedName>
    <definedName name="__123Graph_F" localSheetId="0" hidden="1">#REF!</definedName>
    <definedName name="__123Graph_F" hidden="1">#REF!</definedName>
    <definedName name="__123Graph_X" localSheetId="1" hidden="1">#REF!</definedName>
    <definedName name="__123Graph_X" localSheetId="2" hidden="1">#REF!</definedName>
    <definedName name="__123Graph_X" localSheetId="0" hidden="1">#REF!</definedName>
    <definedName name="__123Graph_X" hidden="1">#REF!</definedName>
    <definedName name="_a_" hidden="1">#N/A</definedName>
    <definedName name="_Fill" localSheetId="1" hidden="1">#REF!</definedName>
    <definedName name="_Fill" localSheetId="2" hidden="1">#REF!</definedName>
    <definedName name="_Fill" localSheetId="0" hidden="1">#REF!</definedName>
    <definedName name="_Fill" hidden="1">#REF!</definedName>
    <definedName name="_xlnm._FilterDatabase" localSheetId="1" hidden="1">'PF AJUSTE # 1'!$B$5:$J$825</definedName>
    <definedName name="_xlnm._FilterDatabase" localSheetId="2" hidden="1">'PF AJUSTE 2'!$B$5:$J$825</definedName>
    <definedName name="_xlnm._FilterDatabase" localSheetId="0" hidden="1">'PF INICIAL'!$B$5:$J$812</definedName>
    <definedName name="_Key1" localSheetId="1" hidden="1">#REF!</definedName>
    <definedName name="_Key1" localSheetId="2" hidden="1">#REF!</definedName>
    <definedName name="_Key1" localSheetId="0" hidden="1">#REF!</definedName>
    <definedName name="_Key1" hidden="1">#REF!</definedName>
    <definedName name="_MatInverse_In" hidden="1">#N/A</definedName>
    <definedName name="_MatInverse_Out" hidden="1">#N/A</definedName>
    <definedName name="_Order1" hidden="1">255</definedName>
    <definedName name="_Order2" hidden="1">255</definedName>
    <definedName name="_Regression_Out" hidden="1">#N/A</definedName>
    <definedName name="_Regression_X" hidden="1">#N/A</definedName>
    <definedName name="_Regression_Y" hidden="1">#N/A</definedName>
    <definedName name="_Sort" localSheetId="1" hidden="1">#REF!</definedName>
    <definedName name="_Sort" localSheetId="2" hidden="1">#REF!</definedName>
    <definedName name="_Sort" localSheetId="0" hidden="1">#REF!</definedName>
    <definedName name="_Sort" hidden="1">#REF!</definedName>
    <definedName name="_Table1_Out" localSheetId="1" hidden="1">#REF!</definedName>
    <definedName name="_Table1_Out" localSheetId="2" hidden="1">#REF!</definedName>
    <definedName name="_Table1_Out" localSheetId="0" hidden="1">#REF!</definedName>
    <definedName name="_Table1_Out" hidden="1">#REF!</definedName>
    <definedName name="_Table2_In2" localSheetId="1" hidden="1">#REF!</definedName>
    <definedName name="_Table2_In2" localSheetId="2" hidden="1">#REF!</definedName>
    <definedName name="_Table2_In2" localSheetId="0" hidden="1">#REF!</definedName>
    <definedName name="_Table2_In2" hidden="1">#REF!</definedName>
    <definedName name="_Table2_Out" localSheetId="1" hidden="1">#REF!</definedName>
    <definedName name="_Table2_Out" localSheetId="2" hidden="1">#REF!</definedName>
    <definedName name="_Table2_Out" localSheetId="0" hidden="1">#REF!</definedName>
    <definedName name="_Table2_Out" hidden="1">#REF!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gregadoSD" localSheetId="1" hidden="1">#REF!</definedName>
    <definedName name="AgregadoSD" localSheetId="2" hidden="1">#REF!</definedName>
    <definedName name="AgregadoSD" localSheetId="0" hidden="1">#REF!</definedName>
    <definedName name="AgregadoSD" hidden="1">#REF!</definedName>
    <definedName name="_xlnm.Print_Area" localSheetId="1">#REF!</definedName>
    <definedName name="_xlnm.Print_Area" localSheetId="2">#REF!</definedName>
    <definedName name="_xlnm.Print_Area" localSheetId="0">#REF!</definedName>
    <definedName name="_xlnm.Print_Area">#REF!</definedName>
    <definedName name="BLPH2" localSheetId="1" hidden="1">#REF!</definedName>
    <definedName name="BLPH2" localSheetId="2" hidden="1">#REF!</definedName>
    <definedName name="BLPH2" localSheetId="0" hidden="1">#REF!</definedName>
    <definedName name="BLPH2" hidden="1">#REF!</definedName>
    <definedName name="BLPH3" localSheetId="1" hidden="1">#REF!</definedName>
    <definedName name="BLPH3" localSheetId="2" hidden="1">#REF!</definedName>
    <definedName name="BLPH3" localSheetId="0" hidden="1">#REF!</definedName>
    <definedName name="BLPH3" hidden="1">#REF!</definedName>
    <definedName name="BuiltIn_Print_Area" localSheetId="1">#REF!</definedName>
    <definedName name="BuiltIn_Print_Area" localSheetId="2">#REF!</definedName>
    <definedName name="BuiltIn_Print_Area" localSheetId="0">#REF!</definedName>
    <definedName name="BuiltIn_Print_Area">#REF!</definedName>
    <definedName name="cdm" localSheetId="1">#REF!</definedName>
    <definedName name="cdm" localSheetId="2">#REF!</definedName>
    <definedName name="cdm" localSheetId="0">#REF!</definedName>
    <definedName name="cdm">#REF!</definedName>
    <definedName name="CUENTAS" localSheetId="1">#REF!</definedName>
    <definedName name="CUENTAS" localSheetId="2">#REF!</definedName>
    <definedName name="CUENTAS" localSheetId="0">#REF!</definedName>
    <definedName name="CUENTAS">#REF!</definedName>
    <definedName name="Cwvu.ComparEneMar9697." hidden="1">#N/A</definedName>
    <definedName name="Cwvu.EneFeb." hidden="1">#N/A</definedName>
    <definedName name="Cwvu.EneMar." hidden="1">#N/A</definedName>
    <definedName name="Cwvu.Formato._.Corto." hidden="1">#N/A</definedName>
    <definedName name="Cwvu.Formato._.Total." hidden="1">#N/A</definedName>
    <definedName name="DESTINACION" localSheetId="1">#REF!</definedName>
    <definedName name="DESTINACION" localSheetId="2">#REF!</definedName>
    <definedName name="DESTINACION" localSheetId="0">#REF!</definedName>
    <definedName name="DESTINACION">#REF!</definedName>
    <definedName name="IMP" localSheetId="1">#REF!</definedName>
    <definedName name="IMP" localSheetId="2">#REF!</definedName>
    <definedName name="IMP" localSheetId="0">#REF!</definedName>
    <definedName name="IMP">#REF!</definedName>
    <definedName name="OEI" localSheetId="1">#REF!</definedName>
    <definedName name="OEI" localSheetId="2">#REF!</definedName>
    <definedName name="OEI" localSheetId="0">#REF!</definedName>
    <definedName name="OEI">#REF!</definedName>
    <definedName name="PANTA1" localSheetId="1">#REF!</definedName>
    <definedName name="PANTA1" localSheetId="2">#REF!</definedName>
    <definedName name="PANTA1" localSheetId="0">#REF!</definedName>
    <definedName name="PANTA1">#REF!</definedName>
    <definedName name="RECURSOS" localSheetId="1">#REF!</definedName>
    <definedName name="RECURSOS" localSheetId="2">#REF!</definedName>
    <definedName name="RECURSOS" localSheetId="0">#REF!</definedName>
    <definedName name="RECURSOS">#REF!</definedName>
    <definedName name="Rwvu.ComparEneMar9697." hidden="1">#N/A</definedName>
    <definedName name="Rwvu.EneFeb." hidden="1">#N/A</definedName>
    <definedName name="Rwvu.Formato._.Corto." hidden="1">#N/A</definedName>
    <definedName name="Rwvu.OPEF._.96." hidden="1">#N/A</definedName>
    <definedName name="Rwvu.OPEF._.97." hidden="1">#N/A</definedName>
    <definedName name="SIT_FONDOS" localSheetId="1">#REF!</definedName>
    <definedName name="SIT_FONDOS" localSheetId="2">#REF!</definedName>
    <definedName name="SIT_FONDOS" localSheetId="0">#REF!</definedName>
    <definedName name="SIT_FONDOS">#REF!</definedName>
    <definedName name="TABLA" localSheetId="1">#REF!</definedName>
    <definedName name="TABLA" localSheetId="2">#REF!</definedName>
    <definedName name="TABLA" localSheetId="0">#REF!</definedName>
    <definedName name="TABLA">#REF!</definedName>
    <definedName name="TEMP" localSheetId="1">#REF!</definedName>
    <definedName name="TEMP" localSheetId="2">#REF!</definedName>
    <definedName name="TEMP" localSheetId="0">#REF!</definedName>
    <definedName name="TEMP">#REF!</definedName>
    <definedName name="TERCERO" localSheetId="1">#REF!</definedName>
    <definedName name="TERCERO" localSheetId="2">#REF!</definedName>
    <definedName name="TERCERO" localSheetId="0">#REF!</definedName>
    <definedName name="TERCERO">#REF!</definedName>
    <definedName name="VALIDACION" localSheetId="1">#REF!</definedName>
    <definedName name="VALIDACION" localSheetId="2">#REF!</definedName>
    <definedName name="VALIDACION" localSheetId="0">#REF!</definedName>
    <definedName name="VALIDACION">#REF!</definedName>
    <definedName name="XXXX" localSheetId="1">#REF!</definedName>
    <definedName name="XXXX" localSheetId="2">#REF!</definedName>
    <definedName name="XXXX" localSheetId="0">#REF!</definedName>
    <definedName name="XXXX">#REF!</definedName>
    <definedName name="Z_91E95AE5_DCC2_11D0_8DF1_00805F2A002D_.wvu.Cols" hidden="1">#N/A</definedName>
    <definedName name="Z_91E95AE6_DCC2_11D0_8DF1_00805F2A002D_.wvu.Cols" hidden="1">#N/A</definedName>
    <definedName name="Z_91E95AE6_DCC2_11D0_8DF1_00805F2A002D_.wvu.Rows" hidden="1">#N/A</definedName>
    <definedName name="Z_91E95AE7_DCC2_11D0_8DF1_00805F2A002D_.wvu.Cols" hidden="1">#N/A</definedName>
    <definedName name="Z_91E95AE8_DCC2_11D0_8DF1_00805F2A002D_.wvu.Cols" hidden="1">#N/A</definedName>
    <definedName name="Z_91E95AE9_DCC2_11D0_8DF1_00805F2A002D_.wvu.Cols" hidden="1">#N/A</definedName>
    <definedName name="Z_91E95AEB_DCC2_11D0_8DF1_00805F2A002D_.wvu.Cols" hidden="1">#N/A</definedName>
    <definedName name="Z_91E95AEC_DCC2_11D0_8DF1_00805F2A002D_.wvu.Cols" hidden="1">#N/A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66" i="9" l="1"/>
  <c r="M666" i="9" s="1"/>
  <c r="M665" i="9" s="1"/>
  <c r="M664" i="9" s="1"/>
  <c r="K660" i="9"/>
  <c r="M660" i="9" s="1"/>
  <c r="K659" i="9"/>
  <c r="M659" i="9" s="1"/>
  <c r="K658" i="9"/>
  <c r="K657" i="9"/>
  <c r="K656" i="9"/>
  <c r="M656" i="9" s="1"/>
  <c r="K655" i="9"/>
  <c r="K650" i="9"/>
  <c r="K638" i="9"/>
  <c r="M638" i="9" s="1"/>
  <c r="K637" i="9"/>
  <c r="M637" i="9" s="1"/>
  <c r="K636" i="9"/>
  <c r="K635" i="9" s="1"/>
  <c r="K634" i="9" s="1"/>
  <c r="K633" i="9"/>
  <c r="M633" i="9" s="1"/>
  <c r="K632" i="9"/>
  <c r="K631" i="9" s="1"/>
  <c r="K630" i="9" s="1"/>
  <c r="K629" i="9"/>
  <c r="K628" i="9"/>
  <c r="K627" i="9"/>
  <c r="K626" i="9"/>
  <c r="K625" i="9"/>
  <c r="K623" i="9" s="1"/>
  <c r="K622" i="9" s="1"/>
  <c r="K624" i="9"/>
  <c r="K621" i="9"/>
  <c r="K620" i="9"/>
  <c r="M620" i="9" s="1"/>
  <c r="K619" i="9"/>
  <c r="K618" i="9"/>
  <c r="K617" i="9"/>
  <c r="K616" i="9"/>
  <c r="M616" i="9" s="1"/>
  <c r="K615" i="9"/>
  <c r="K614" i="9"/>
  <c r="K612" i="9" s="1"/>
  <c r="K611" i="9" s="1"/>
  <c r="K613" i="9"/>
  <c r="K609" i="9"/>
  <c r="K603" i="9"/>
  <c r="M603" i="9" s="1"/>
  <c r="K602" i="9"/>
  <c r="K601" i="9"/>
  <c r="K600" i="9"/>
  <c r="M600" i="9" s="1"/>
  <c r="K599" i="9"/>
  <c r="K598" i="9"/>
  <c r="K595" i="9" s="1"/>
  <c r="K597" i="9"/>
  <c r="K596" i="9"/>
  <c r="K594" i="9"/>
  <c r="K592" i="9"/>
  <c r="K591" i="9" s="1"/>
  <c r="K578" i="9"/>
  <c r="K577" i="9"/>
  <c r="K576" i="9" s="1"/>
  <c r="K575" i="9"/>
  <c r="K574" i="9" s="1"/>
  <c r="K573" i="9"/>
  <c r="K569" i="9"/>
  <c r="K568" i="9" s="1"/>
  <c r="K567" i="9" s="1"/>
  <c r="K566" i="9" s="1"/>
  <c r="K565" i="9" s="1"/>
  <c r="K564" i="9" s="1"/>
  <c r="K563" i="9" s="1"/>
  <c r="K562" i="9" s="1"/>
  <c r="K561" i="9" s="1"/>
  <c r="K552" i="9"/>
  <c r="K551" i="9" s="1"/>
  <c r="K550" i="9" s="1"/>
  <c r="K549" i="9" s="1"/>
  <c r="K548" i="9"/>
  <c r="K537" i="9"/>
  <c r="K536" i="9"/>
  <c r="M536" i="9" s="1"/>
  <c r="K535" i="9"/>
  <c r="K534" i="9"/>
  <c r="K533" i="9"/>
  <c r="K532" i="9"/>
  <c r="M532" i="9" s="1"/>
  <c r="K531" i="9"/>
  <c r="K530" i="9"/>
  <c r="M530" i="9" s="1"/>
  <c r="K527" i="9"/>
  <c r="K526" i="9" s="1"/>
  <c r="K525" i="9"/>
  <c r="M525" i="9" s="1"/>
  <c r="M524" i="9" s="1"/>
  <c r="K523" i="9"/>
  <c r="M523" i="9" s="1"/>
  <c r="M522" i="9" s="1"/>
  <c r="K519" i="9"/>
  <c r="M519" i="9" s="1"/>
  <c r="K518" i="9"/>
  <c r="K517" i="9"/>
  <c r="K513" i="9"/>
  <c r="K512" i="9" s="1"/>
  <c r="K511" i="9" s="1"/>
  <c r="K510" i="9"/>
  <c r="K506" i="9"/>
  <c r="K505" i="9" s="1"/>
  <c r="K504" i="9"/>
  <c r="K503" i="9" s="1"/>
  <c r="K499" i="9"/>
  <c r="M499" i="9" s="1"/>
  <c r="K498" i="9"/>
  <c r="K497" i="9" s="1"/>
  <c r="K496" i="9"/>
  <c r="K495" i="9" s="1"/>
  <c r="K494" i="9"/>
  <c r="M494" i="9" s="1"/>
  <c r="M493" i="9" s="1"/>
  <c r="K492" i="9"/>
  <c r="K491" i="9" s="1"/>
  <c r="K487" i="9"/>
  <c r="M487" i="9"/>
  <c r="K486" i="9"/>
  <c r="K483" i="9"/>
  <c r="M483" i="9" s="1"/>
  <c r="M482" i="9" s="1"/>
  <c r="K480" i="9"/>
  <c r="M480" i="9" s="1"/>
  <c r="K479" i="9"/>
  <c r="M479" i="9" s="1"/>
  <c r="K477" i="9"/>
  <c r="K474" i="9"/>
  <c r="K473" i="9"/>
  <c r="M473" i="9" s="1"/>
  <c r="K471" i="9"/>
  <c r="K470" i="9"/>
  <c r="K466" i="9"/>
  <c r="K465" i="9" s="1"/>
  <c r="K464" i="9"/>
  <c r="K462" i="9" s="1"/>
  <c r="K463" i="9"/>
  <c r="K460" i="9"/>
  <c r="K453" i="9"/>
  <c r="K450" i="9"/>
  <c r="K449" i="9"/>
  <c r="M449" i="9" s="1"/>
  <c r="K448" i="9"/>
  <c r="K447" i="9"/>
  <c r="K446" i="9"/>
  <c r="K445" i="9"/>
  <c r="K444" i="9"/>
  <c r="K443" i="9"/>
  <c r="K442" i="9"/>
  <c r="K441" i="9"/>
  <c r="K439" i="9" s="1"/>
  <c r="K438" i="9" s="1"/>
  <c r="K440" i="9"/>
  <c r="K437" i="9"/>
  <c r="K436" i="9"/>
  <c r="K435" i="9"/>
  <c r="K431" i="9"/>
  <c r="K428" i="9"/>
  <c r="K424" i="9"/>
  <c r="M424" i="9" s="1"/>
  <c r="M423" i="9" s="1"/>
  <c r="K422" i="9"/>
  <c r="K416" i="9"/>
  <c r="K410" i="9"/>
  <c r="K409" i="9" s="1"/>
  <c r="K408" i="9"/>
  <c r="M408" i="9" s="1"/>
  <c r="M407" i="9" s="1"/>
  <c r="K405" i="9"/>
  <c r="K404" i="9"/>
  <c r="K403" i="9" s="1"/>
  <c r="K402" i="9"/>
  <c r="K401" i="9"/>
  <c r="K400" i="9" s="1"/>
  <c r="K392" i="9"/>
  <c r="K386" i="9"/>
  <c r="K382" i="9" s="1"/>
  <c r="K381" i="9" s="1"/>
  <c r="K385" i="9"/>
  <c r="K384" i="9"/>
  <c r="M384" i="9" s="1"/>
  <c r="K383" i="9"/>
  <c r="K379" i="9"/>
  <c r="M379" i="9" s="1"/>
  <c r="M378" i="9" s="1"/>
  <c r="K377" i="9"/>
  <c r="M377" i="9" s="1"/>
  <c r="M376" i="9" s="1"/>
  <c r="K375" i="9"/>
  <c r="M375" i="9" s="1"/>
  <c r="M374" i="9" s="1"/>
  <c r="K372" i="9"/>
  <c r="M372" i="9" s="1"/>
  <c r="M371" i="9" s="1"/>
  <c r="M370" i="9" s="1"/>
  <c r="M369" i="9" s="1"/>
  <c r="K363" i="9"/>
  <c r="K362" i="9" s="1"/>
  <c r="K361" i="9" s="1"/>
  <c r="K360" i="9"/>
  <c r="M360" i="9" s="1"/>
  <c r="K359" i="9"/>
  <c r="M359" i="9" s="1"/>
  <c r="K358" i="9"/>
  <c r="K357" i="9"/>
  <c r="M357" i="9" s="1"/>
  <c r="K356" i="9"/>
  <c r="K355" i="9"/>
  <c r="M355" i="9" s="1"/>
  <c r="K351" i="9"/>
  <c r="K349" i="9"/>
  <c r="K348" i="9"/>
  <c r="M348" i="9"/>
  <c r="K344" i="9"/>
  <c r="K340" i="9"/>
  <c r="M340" i="9" s="1"/>
  <c r="M339" i="9" s="1"/>
  <c r="M338" i="9" s="1"/>
  <c r="K336" i="9"/>
  <c r="K334" i="9"/>
  <c r="M334" i="9" s="1"/>
  <c r="K333" i="9"/>
  <c r="M333" i="9" s="1"/>
  <c r="K330" i="9"/>
  <c r="M330" i="9" s="1"/>
  <c r="M329" i="9" s="1"/>
  <c r="M328" i="9" s="1"/>
  <c r="K323" i="9"/>
  <c r="K320" i="9"/>
  <c r="K319" i="9" s="1"/>
  <c r="K318" i="9" s="1"/>
  <c r="K317" i="9"/>
  <c r="M317" i="9" s="1"/>
  <c r="K316" i="9"/>
  <c r="K313" i="9" s="1"/>
  <c r="K315" i="9"/>
  <c r="K314" i="9"/>
  <c r="K310" i="9"/>
  <c r="K307" i="9"/>
  <c r="M307" i="9" s="1"/>
  <c r="M306" i="9" s="1"/>
  <c r="K303" i="9"/>
  <c r="K301" i="9"/>
  <c r="K296" i="9"/>
  <c r="K295" i="9" s="1"/>
  <c r="K294" i="9"/>
  <c r="K293" i="9" s="1"/>
  <c r="K292" i="9"/>
  <c r="K291" i="9" s="1"/>
  <c r="K290" i="9"/>
  <c r="K286" i="9"/>
  <c r="K285" i="9" s="1"/>
  <c r="K284" i="9" s="1"/>
  <c r="K282" i="9"/>
  <c r="K280" i="9"/>
  <c r="M280" i="9" s="1"/>
  <c r="M279" i="9" s="1"/>
  <c r="K277" i="9"/>
  <c r="K276" i="9"/>
  <c r="M276" i="9" s="1"/>
  <c r="K274" i="9"/>
  <c r="K273" i="9"/>
  <c r="K272" i="9" s="1"/>
  <c r="K269" i="9"/>
  <c r="M269" i="9" s="1"/>
  <c r="M268" i="9" s="1"/>
  <c r="K267" i="9"/>
  <c r="M267" i="9" s="1"/>
  <c r="M266" i="9" s="1"/>
  <c r="K264" i="9"/>
  <c r="K263" i="9" s="1"/>
  <c r="K262" i="9" s="1"/>
  <c r="K251" i="9"/>
  <c r="K248" i="9"/>
  <c r="M248" i="9" s="1"/>
  <c r="K247" i="9"/>
  <c r="M247" i="9" s="1"/>
  <c r="K246" i="9"/>
  <c r="K245" i="9"/>
  <c r="K244" i="9"/>
  <c r="M244" i="9" s="1"/>
  <c r="K243" i="9"/>
  <c r="K241" i="9" s="1"/>
  <c r="K240" i="9" s="1"/>
  <c r="K242" i="9"/>
  <c r="K239" i="9"/>
  <c r="K238" i="9"/>
  <c r="K237" i="9"/>
  <c r="K236" i="9"/>
  <c r="K235" i="9"/>
  <c r="M235" i="9" s="1"/>
  <c r="K231" i="9"/>
  <c r="K230" i="9" s="1"/>
  <c r="K229" i="9"/>
  <c r="M229" i="9" s="1"/>
  <c r="M228" i="9" s="1"/>
  <c r="K223" i="9"/>
  <c r="M223" i="9" s="1"/>
  <c r="M222" i="9" s="1"/>
  <c r="M221" i="9" s="1"/>
  <c r="K220" i="9"/>
  <c r="K219" i="9" s="1"/>
  <c r="K218" i="9"/>
  <c r="K217" i="9"/>
  <c r="M217" i="9" s="1"/>
  <c r="K216" i="9"/>
  <c r="K215" i="9"/>
  <c r="K203" i="9"/>
  <c r="K201" i="9"/>
  <c r="K200" i="9"/>
  <c r="K199" i="9"/>
  <c r="K198" i="9"/>
  <c r="K197" i="9"/>
  <c r="K196" i="9"/>
  <c r="M196" i="9" s="1"/>
  <c r="K195" i="9"/>
  <c r="K194" i="9"/>
  <c r="K193" i="9"/>
  <c r="K192" i="9"/>
  <c r="K190" i="9" s="1"/>
  <c r="K189" i="9" s="1"/>
  <c r="K191" i="9"/>
  <c r="K188" i="9"/>
  <c r="K187" i="9"/>
  <c r="K186" i="9"/>
  <c r="K185" i="9"/>
  <c r="K184" i="9"/>
  <c r="K183" i="9"/>
  <c r="K182" i="9"/>
  <c r="K181" i="9"/>
  <c r="M181" i="9" s="1"/>
  <c r="K180" i="9"/>
  <c r="K179" i="9"/>
  <c r="K178" i="9"/>
  <c r="K177" i="9"/>
  <c r="K176" i="9"/>
  <c r="K175" i="9"/>
  <c r="K174" i="9"/>
  <c r="K173" i="9"/>
  <c r="K171" i="9" s="1"/>
  <c r="K172" i="9"/>
  <c r="K170" i="9"/>
  <c r="K169" i="9"/>
  <c r="K168" i="9"/>
  <c r="K167" i="9"/>
  <c r="K164" i="9"/>
  <c r="K163" i="9" s="1"/>
  <c r="K162" i="9" s="1"/>
  <c r="K161" i="9"/>
  <c r="M161" i="9" s="1"/>
  <c r="K160" i="9"/>
  <c r="K159" i="9"/>
  <c r="K158" i="9"/>
  <c r="K157" i="9"/>
  <c r="M157" i="9" s="1"/>
  <c r="K156" i="9"/>
  <c r="K155" i="9"/>
  <c r="K154" i="9"/>
  <c r="M154" i="9" s="1"/>
  <c r="K153" i="9"/>
  <c r="M153" i="9" s="1"/>
  <c r="K152" i="9"/>
  <c r="K151" i="9"/>
  <c r="K150" i="9"/>
  <c r="K149" i="9"/>
  <c r="M149" i="9" s="1"/>
  <c r="K148" i="9"/>
  <c r="K147" i="9"/>
  <c r="K146" i="9"/>
  <c r="M146" i="9" s="1"/>
  <c r="K145" i="9"/>
  <c r="M145" i="9" s="1"/>
  <c r="K142" i="9"/>
  <c r="K141" i="9"/>
  <c r="K140" i="9" s="1"/>
  <c r="K139" i="9" s="1"/>
  <c r="K138" i="9"/>
  <c r="M138" i="9" s="1"/>
  <c r="M137" i="9" s="1"/>
  <c r="M136" i="9" s="1"/>
  <c r="K134" i="9"/>
  <c r="K133" i="9"/>
  <c r="K130" i="9"/>
  <c r="M130" i="9" s="1"/>
  <c r="K129" i="9"/>
  <c r="K125" i="9"/>
  <c r="K124" i="9"/>
  <c r="K123" i="9" s="1"/>
  <c r="K122" i="9"/>
  <c r="M122" i="9" s="1"/>
  <c r="K121" i="9"/>
  <c r="K115" i="9"/>
  <c r="K114" i="9"/>
  <c r="K113" i="9"/>
  <c r="K112" i="9"/>
  <c r="K111" i="9"/>
  <c r="K110" i="9" s="1"/>
  <c r="K109" i="9" s="1"/>
  <c r="K108" i="9"/>
  <c r="K107" i="9" s="1"/>
  <c r="K106" i="9"/>
  <c r="M106" i="9" s="1"/>
  <c r="M105" i="9" s="1"/>
  <c r="K102" i="9"/>
  <c r="K101" i="9" s="1"/>
  <c r="K100" i="9" s="1"/>
  <c r="K98" i="9"/>
  <c r="M98" i="9" s="1"/>
  <c r="K97" i="9"/>
  <c r="M97" i="9" s="1"/>
  <c r="K94" i="9"/>
  <c r="K88" i="9"/>
  <c r="K87" i="9" s="1"/>
  <c r="K86" i="9" s="1"/>
  <c r="K85" i="9" s="1"/>
  <c r="K84" i="9" s="1"/>
  <c r="K83" i="9"/>
  <c r="M83" i="9" s="1"/>
  <c r="M82" i="9" s="1"/>
  <c r="M81" i="9" s="1"/>
  <c r="M80" i="9" s="1"/>
  <c r="K79" i="9"/>
  <c r="K78" i="9" s="1"/>
  <c r="K77" i="9" s="1"/>
  <c r="K76" i="9" s="1"/>
  <c r="K75" i="9" s="1"/>
  <c r="K72" i="9"/>
  <c r="K71" i="9" s="1"/>
  <c r="K70" i="9"/>
  <c r="M70" i="9" s="1"/>
  <c r="K69" i="9"/>
  <c r="M69" i="9" s="1"/>
  <c r="K68" i="9"/>
  <c r="K67" i="9"/>
  <c r="K66" i="9"/>
  <c r="K63" i="9"/>
  <c r="M63" i="9" s="1"/>
  <c r="M62" i="9" s="1"/>
  <c r="M61" i="9" s="1"/>
  <c r="M60" i="9" s="1"/>
  <c r="K58" i="9"/>
  <c r="K57" i="9"/>
  <c r="K56" i="9"/>
  <c r="K55" i="9"/>
  <c r="K54" i="9"/>
  <c r="K53" i="9"/>
  <c r="M53" i="9" s="1"/>
  <c r="K52" i="9"/>
  <c r="K51" i="9"/>
  <c r="K50" i="9" s="1"/>
  <c r="K49" i="9"/>
  <c r="K47" i="9"/>
  <c r="K46" i="9"/>
  <c r="M46" i="9" s="1"/>
  <c r="K44" i="9"/>
  <c r="K43" i="9"/>
  <c r="K39" i="9"/>
  <c r="K38" i="9" s="1"/>
  <c r="K37" i="9"/>
  <c r="M37" i="9" s="1"/>
  <c r="M36" i="9" s="1"/>
  <c r="K34" i="9"/>
  <c r="K33" i="9"/>
  <c r="M33" i="9" s="1"/>
  <c r="K32" i="9"/>
  <c r="K31" i="9"/>
  <c r="M31" i="9" s="1"/>
  <c r="K29" i="9"/>
  <c r="M29" i="9" s="1"/>
  <c r="K28" i="9"/>
  <c r="M28" i="9" s="1"/>
  <c r="K27" i="9"/>
  <c r="K26" i="9"/>
  <c r="K22" i="9"/>
  <c r="K21" i="9" s="1"/>
  <c r="K20" i="9"/>
  <c r="K19" i="9"/>
  <c r="M19" i="9" s="1"/>
  <c r="K17" i="9"/>
  <c r="K16" i="9"/>
  <c r="K15" i="9" s="1"/>
  <c r="K12" i="9"/>
  <c r="M12" i="9" s="1"/>
  <c r="K11" i="9"/>
  <c r="M822" i="9"/>
  <c r="M821" i="9"/>
  <c r="M820" i="9"/>
  <c r="M819" i="9"/>
  <c r="M818" i="9"/>
  <c r="M817" i="9"/>
  <c r="M816" i="9"/>
  <c r="M815" i="9"/>
  <c r="L814" i="9"/>
  <c r="L813" i="9" s="1"/>
  <c r="L812" i="9" s="1"/>
  <c r="L811" i="9" s="1"/>
  <c r="K814" i="9"/>
  <c r="K813" i="9" s="1"/>
  <c r="K812" i="9" s="1"/>
  <c r="K811" i="9" s="1"/>
  <c r="M810" i="9"/>
  <c r="M809" i="9"/>
  <c r="L808" i="9"/>
  <c r="L807" i="9" s="1"/>
  <c r="L806" i="9" s="1"/>
  <c r="L805" i="9" s="1"/>
  <c r="L804" i="9" s="1"/>
  <c r="L803" i="9" s="1"/>
  <c r="L823" i="9" s="1"/>
  <c r="K808" i="9"/>
  <c r="K807" i="9" s="1"/>
  <c r="K806" i="9" s="1"/>
  <c r="K805" i="9" s="1"/>
  <c r="K804" i="9" s="1"/>
  <c r="M796" i="9"/>
  <c r="M795" i="9" s="1"/>
  <c r="M794" i="9" s="1"/>
  <c r="L795" i="9"/>
  <c r="L794" i="9" s="1"/>
  <c r="K795" i="9"/>
  <c r="K794" i="9" s="1"/>
  <c r="M793" i="9"/>
  <c r="M792" i="9" s="1"/>
  <c r="L792" i="9"/>
  <c r="K792" i="9"/>
  <c r="M791" i="9"/>
  <c r="M790" i="9" s="1"/>
  <c r="L790" i="9"/>
  <c r="K790" i="9"/>
  <c r="M788" i="9"/>
  <c r="M787" i="9"/>
  <c r="M785" i="9"/>
  <c r="M784" i="9" s="1"/>
  <c r="M783" i="9" s="1"/>
  <c r="L785" i="9"/>
  <c r="K785" i="9"/>
  <c r="K784" i="9" s="1"/>
  <c r="K783" i="9" s="1"/>
  <c r="L784" i="9"/>
  <c r="L783" i="9" s="1"/>
  <c r="M782" i="9"/>
  <c r="M781" i="9"/>
  <c r="M780" i="9" s="1"/>
  <c r="M779" i="9" s="1"/>
  <c r="M778" i="9" s="1"/>
  <c r="M777" i="9" s="1"/>
  <c r="L780" i="9"/>
  <c r="L779" i="9" s="1"/>
  <c r="L778" i="9" s="1"/>
  <c r="L777" i="9" s="1"/>
  <c r="K780" i="9"/>
  <c r="K779" i="9" s="1"/>
  <c r="K778" i="9" s="1"/>
  <c r="K777" i="9" s="1"/>
  <c r="M770" i="9"/>
  <c r="M769" i="9" s="1"/>
  <c r="L769" i="9"/>
  <c r="K769" i="9"/>
  <c r="M767" i="9"/>
  <c r="L767" i="9"/>
  <c r="K767" i="9"/>
  <c r="M765" i="9"/>
  <c r="M764" i="9" s="1"/>
  <c r="M763" i="9" s="1"/>
  <c r="M762" i="9" s="1"/>
  <c r="M761" i="9" s="1"/>
  <c r="L764" i="9"/>
  <c r="L763" i="9" s="1"/>
  <c r="L762" i="9" s="1"/>
  <c r="L761" i="9" s="1"/>
  <c r="K764" i="9"/>
  <c r="K763" i="9" s="1"/>
  <c r="K762" i="9" s="1"/>
  <c r="K761" i="9" s="1"/>
  <c r="M753" i="9"/>
  <c r="M752" i="9"/>
  <c r="L751" i="9"/>
  <c r="K751" i="9"/>
  <c r="M750" i="9"/>
  <c r="M749" i="9" s="1"/>
  <c r="L749" i="9"/>
  <c r="K749" i="9"/>
  <c r="M747" i="9"/>
  <c r="M746" i="9" s="1"/>
  <c r="M745" i="9" s="1"/>
  <c r="L746" i="9"/>
  <c r="K746" i="9"/>
  <c r="K745" i="9" s="1"/>
  <c r="L745" i="9"/>
  <c r="M744" i="9"/>
  <c r="M743" i="9"/>
  <c r="M742" i="9"/>
  <c r="M741" i="9"/>
  <c r="M740" i="9"/>
  <c r="M739" i="9"/>
  <c r="M738" i="9"/>
  <c r="L737" i="9"/>
  <c r="L736" i="9" s="1"/>
  <c r="L735" i="9" s="1"/>
  <c r="L734" i="9" s="1"/>
  <c r="K737" i="9"/>
  <c r="K736" i="9" s="1"/>
  <c r="M726" i="9"/>
  <c r="M724" i="9" s="1"/>
  <c r="M725" i="9"/>
  <c r="L724" i="9"/>
  <c r="K724" i="9"/>
  <c r="M723" i="9"/>
  <c r="M722" i="9"/>
  <c r="L721" i="9"/>
  <c r="L720" i="9" s="1"/>
  <c r="K721" i="9"/>
  <c r="K720" i="9" s="1"/>
  <c r="K719" i="9" s="1"/>
  <c r="M718" i="9"/>
  <c r="M717" i="9"/>
  <c r="L716" i="9"/>
  <c r="K716" i="9"/>
  <c r="K715" i="9" s="1"/>
  <c r="K714" i="9" s="1"/>
  <c r="L715" i="9"/>
  <c r="L714" i="9" s="1"/>
  <c r="M713" i="9"/>
  <c r="M712" i="9" s="1"/>
  <c r="L712" i="9"/>
  <c r="K712" i="9"/>
  <c r="M711" i="9"/>
  <c r="M710" i="9" s="1"/>
  <c r="L710" i="9"/>
  <c r="K710" i="9"/>
  <c r="M695" i="9"/>
  <c r="M694" i="9"/>
  <c r="L693" i="9"/>
  <c r="K693" i="9"/>
  <c r="M692" i="9"/>
  <c r="M691" i="9"/>
  <c r="L690" i="9"/>
  <c r="L689" i="9" s="1"/>
  <c r="K690" i="9"/>
  <c r="K689" i="9" s="1"/>
  <c r="M688" i="9"/>
  <c r="M687" i="9"/>
  <c r="M686" i="9"/>
  <c r="L685" i="9"/>
  <c r="L684" i="9" s="1"/>
  <c r="K685" i="9"/>
  <c r="K684" i="9" s="1"/>
  <c r="M682" i="9"/>
  <c r="M681" i="9"/>
  <c r="M680" i="9" s="1"/>
  <c r="M679" i="9" s="1"/>
  <c r="M678" i="9" s="1"/>
  <c r="M677" i="9" s="1"/>
  <c r="M676" i="9" s="1"/>
  <c r="L680" i="9"/>
  <c r="K680" i="9"/>
  <c r="K679" i="9" s="1"/>
  <c r="K678" i="9" s="1"/>
  <c r="K677" i="9" s="1"/>
  <c r="K676" i="9" s="1"/>
  <c r="L679" i="9"/>
  <c r="L678" i="9" s="1"/>
  <c r="L677" i="9" s="1"/>
  <c r="L676" i="9" s="1"/>
  <c r="M667" i="9"/>
  <c r="L667" i="9"/>
  <c r="K667" i="9"/>
  <c r="L665" i="9"/>
  <c r="L664" i="9" s="1"/>
  <c r="K665" i="9"/>
  <c r="K664" i="9" s="1"/>
  <c r="M663" i="9"/>
  <c r="M662" i="9" s="1"/>
  <c r="L662" i="9"/>
  <c r="K662" i="9"/>
  <c r="M658" i="9"/>
  <c r="M657" i="9"/>
  <c r="M655" i="9"/>
  <c r="L654" i="9"/>
  <c r="L653" i="9" s="1"/>
  <c r="L652" i="9" s="1"/>
  <c r="L651" i="9" s="1"/>
  <c r="M650" i="9"/>
  <c r="M649" i="9" s="1"/>
  <c r="M648" i="9" s="1"/>
  <c r="M647" i="9" s="1"/>
  <c r="M646" i="9" s="1"/>
  <c r="L649" i="9"/>
  <c r="L648" i="9" s="1"/>
  <c r="L647" i="9" s="1"/>
  <c r="L646" i="9" s="1"/>
  <c r="K649" i="9"/>
  <c r="K648" i="9" s="1"/>
  <c r="K647" i="9" s="1"/>
  <c r="K646" i="9" s="1"/>
  <c r="I638" i="9"/>
  <c r="I637" i="9"/>
  <c r="M636" i="9"/>
  <c r="I636" i="9"/>
  <c r="L635" i="9"/>
  <c r="L634" i="9" s="1"/>
  <c r="L631" i="9"/>
  <c r="L630" i="9" s="1"/>
  <c r="M629" i="9"/>
  <c r="I629" i="9"/>
  <c r="M628" i="9"/>
  <c r="I628" i="9"/>
  <c r="M627" i="9"/>
  <c r="I627" i="9"/>
  <c r="M626" i="9"/>
  <c r="I626" i="9"/>
  <c r="M625" i="9"/>
  <c r="I625" i="9"/>
  <c r="M624" i="9"/>
  <c r="I624" i="9"/>
  <c r="L623" i="9"/>
  <c r="L622" i="9" s="1"/>
  <c r="M621" i="9"/>
  <c r="I621" i="9"/>
  <c r="I620" i="9"/>
  <c r="M619" i="9"/>
  <c r="I619" i="9"/>
  <c r="M618" i="9"/>
  <c r="I618" i="9"/>
  <c r="M617" i="9"/>
  <c r="I617" i="9"/>
  <c r="I616" i="9"/>
  <c r="M615" i="9"/>
  <c r="I615" i="9"/>
  <c r="M614" i="9"/>
  <c r="I614" i="9"/>
  <c r="M613" i="9"/>
  <c r="I613" i="9"/>
  <c r="L612" i="9"/>
  <c r="L611" i="9" s="1"/>
  <c r="M609" i="9"/>
  <c r="M608" i="9" s="1"/>
  <c r="M607" i="9" s="1"/>
  <c r="M606" i="9" s="1"/>
  <c r="M605" i="9" s="1"/>
  <c r="M604" i="9" s="1"/>
  <c r="I609" i="9"/>
  <c r="L608" i="9"/>
  <c r="L607" i="9" s="1"/>
  <c r="L606" i="9" s="1"/>
  <c r="L605" i="9" s="1"/>
  <c r="L604" i="9" s="1"/>
  <c r="K608" i="9"/>
  <c r="K607" i="9" s="1"/>
  <c r="K606" i="9" s="1"/>
  <c r="K605" i="9" s="1"/>
  <c r="K604" i="9" s="1"/>
  <c r="I603" i="9"/>
  <c r="M602" i="9"/>
  <c r="I602" i="9"/>
  <c r="M601" i="9"/>
  <c r="I601" i="9"/>
  <c r="I600" i="9"/>
  <c r="M599" i="9"/>
  <c r="I599" i="9"/>
  <c r="I598" i="9"/>
  <c r="M597" i="9"/>
  <c r="I597" i="9"/>
  <c r="M596" i="9"/>
  <c r="I596" i="9"/>
  <c r="L595" i="9"/>
  <c r="M594" i="9"/>
  <c r="M593" i="9" s="1"/>
  <c r="I594" i="9"/>
  <c r="L593" i="9"/>
  <c r="K593" i="9"/>
  <c r="I592" i="9"/>
  <c r="L591" i="9"/>
  <c r="L590" i="9" s="1"/>
  <c r="M581" i="9"/>
  <c r="I581" i="9"/>
  <c r="M580" i="9"/>
  <c r="M579" i="9" s="1"/>
  <c r="L580" i="9"/>
  <c r="L579" i="9" s="1"/>
  <c r="K580" i="9"/>
  <c r="K579" i="9" s="1"/>
  <c r="M578" i="9"/>
  <c r="M577" i="9" s="1"/>
  <c r="M576" i="9" s="1"/>
  <c r="I578" i="9"/>
  <c r="L577" i="9"/>
  <c r="L576" i="9" s="1"/>
  <c r="M575" i="9"/>
  <c r="M574" i="9" s="1"/>
  <c r="I575" i="9"/>
  <c r="L574" i="9"/>
  <c r="L573" i="9" s="1"/>
  <c r="L572" i="9" s="1"/>
  <c r="L571" i="9" s="1"/>
  <c r="I573" i="9"/>
  <c r="M569" i="9"/>
  <c r="I569" i="9"/>
  <c r="M568" i="9"/>
  <c r="M567" i="9" s="1"/>
  <c r="M566" i="9" s="1"/>
  <c r="M565" i="9" s="1"/>
  <c r="M564" i="9" s="1"/>
  <c r="M563" i="9" s="1"/>
  <c r="M562" i="9" s="1"/>
  <c r="M561" i="9" s="1"/>
  <c r="L568" i="9"/>
  <c r="L567" i="9" s="1"/>
  <c r="L566" i="9" s="1"/>
  <c r="L565" i="9" s="1"/>
  <c r="L564" i="9" s="1"/>
  <c r="L563" i="9" s="1"/>
  <c r="L562" i="9" s="1"/>
  <c r="L561" i="9" s="1"/>
  <c r="M555" i="9"/>
  <c r="I555" i="9"/>
  <c r="M552" i="9"/>
  <c r="M551" i="9" s="1"/>
  <c r="M550" i="9" s="1"/>
  <c r="M549" i="9" s="1"/>
  <c r="I552" i="9"/>
  <c r="L551" i="9"/>
  <c r="L550" i="9"/>
  <c r="L549" i="9"/>
  <c r="M548" i="9"/>
  <c r="M547" i="9" s="1"/>
  <c r="M546" i="9" s="1"/>
  <c r="M545" i="9" s="1"/>
  <c r="M544" i="9" s="1"/>
  <c r="M543" i="9" s="1"/>
  <c r="I548" i="9"/>
  <c r="L547" i="9"/>
  <c r="L546" i="9" s="1"/>
  <c r="L545" i="9" s="1"/>
  <c r="L544" i="9" s="1"/>
  <c r="L543" i="9" s="1"/>
  <c r="L542" i="9" s="1"/>
  <c r="L556" i="9" s="1"/>
  <c r="K547" i="9"/>
  <c r="K546" i="9" s="1"/>
  <c r="K545" i="9" s="1"/>
  <c r="K544" i="9" s="1"/>
  <c r="K543" i="9" s="1"/>
  <c r="M537" i="9"/>
  <c r="I537" i="9"/>
  <c r="I536" i="9"/>
  <c r="M535" i="9"/>
  <c r="I535" i="9"/>
  <c r="M534" i="9"/>
  <c r="I534" i="9"/>
  <c r="M533" i="9"/>
  <c r="I533" i="9"/>
  <c r="I532" i="9"/>
  <c r="M531" i="9"/>
  <c r="I531" i="9"/>
  <c r="I530" i="9"/>
  <c r="L529" i="9"/>
  <c r="L528" i="9" s="1"/>
  <c r="K529" i="9"/>
  <c r="K528" i="9" s="1"/>
  <c r="I527" i="9"/>
  <c r="L526" i="9"/>
  <c r="I525" i="9"/>
  <c r="L524" i="9"/>
  <c r="I523" i="9"/>
  <c r="L522" i="9"/>
  <c r="L521" i="9" s="1"/>
  <c r="L520" i="9" s="1"/>
  <c r="K522" i="9"/>
  <c r="I519" i="9"/>
  <c r="M518" i="9"/>
  <c r="I518" i="9"/>
  <c r="M517" i="9"/>
  <c r="I517" i="9"/>
  <c r="L516" i="9"/>
  <c r="L515" i="9" s="1"/>
  <c r="K516" i="9"/>
  <c r="K515" i="9" s="1"/>
  <c r="I513" i="9"/>
  <c r="L512" i="9"/>
  <c r="L511" i="9"/>
  <c r="M510" i="9"/>
  <c r="M509" i="9" s="1"/>
  <c r="I510" i="9"/>
  <c r="L509" i="9"/>
  <c r="L508" i="9" s="1"/>
  <c r="L507" i="9" s="1"/>
  <c r="K509" i="9"/>
  <c r="M506" i="9"/>
  <c r="M505" i="9" s="1"/>
  <c r="I506" i="9"/>
  <c r="L505" i="9"/>
  <c r="I504" i="9"/>
  <c r="L503" i="9"/>
  <c r="L502" i="9" s="1"/>
  <c r="I499" i="9"/>
  <c r="M498" i="9"/>
  <c r="I498" i="9"/>
  <c r="L497" i="9"/>
  <c r="M496" i="9"/>
  <c r="M495" i="9" s="1"/>
  <c r="I496" i="9"/>
  <c r="L495" i="9"/>
  <c r="I494" i="9"/>
  <c r="L493" i="9"/>
  <c r="I492" i="9"/>
  <c r="L491" i="9"/>
  <c r="L490" i="9" s="1"/>
  <c r="I487" i="9"/>
  <c r="M486" i="9"/>
  <c r="I486" i="9"/>
  <c r="L485" i="9"/>
  <c r="L484" i="9" s="1"/>
  <c r="L482" i="9"/>
  <c r="K482" i="9"/>
  <c r="I480" i="9"/>
  <c r="I479" i="9"/>
  <c r="L478" i="9"/>
  <c r="M477" i="9"/>
  <c r="M476" i="9" s="1"/>
  <c r="I477" i="9"/>
  <c r="L476" i="9"/>
  <c r="K476" i="9"/>
  <c r="M474" i="9"/>
  <c r="I474" i="9"/>
  <c r="I473" i="9"/>
  <c r="L472" i="9"/>
  <c r="M471" i="9"/>
  <c r="M469" i="9" s="1"/>
  <c r="I471" i="9"/>
  <c r="M470" i="9"/>
  <c r="I470" i="9"/>
  <c r="L469" i="9"/>
  <c r="K469" i="9"/>
  <c r="L468" i="9"/>
  <c r="L467" i="9" s="1"/>
  <c r="M466" i="9"/>
  <c r="M465" i="9" s="1"/>
  <c r="I466" i="9"/>
  <c r="L465" i="9"/>
  <c r="M464" i="9"/>
  <c r="I464" i="9"/>
  <c r="M463" i="9"/>
  <c r="I463" i="9"/>
  <c r="L462" i="9"/>
  <c r="M460" i="9"/>
  <c r="M459" i="9" s="1"/>
  <c r="M458" i="9" s="1"/>
  <c r="I460" i="9"/>
  <c r="L459" i="9"/>
  <c r="L458" i="9" s="1"/>
  <c r="K459" i="9"/>
  <c r="K458" i="9" s="1"/>
  <c r="M453" i="9"/>
  <c r="M452" i="9" s="1"/>
  <c r="M451" i="9" s="1"/>
  <c r="I453" i="9"/>
  <c r="L452" i="9"/>
  <c r="L451" i="9" s="1"/>
  <c r="K452" i="9"/>
  <c r="K451" i="9" s="1"/>
  <c r="M450" i="9"/>
  <c r="I450" i="9"/>
  <c r="I449" i="9"/>
  <c r="M448" i="9"/>
  <c r="I448" i="9"/>
  <c r="M447" i="9"/>
  <c r="I447" i="9"/>
  <c r="M446" i="9"/>
  <c r="I446" i="9"/>
  <c r="M445" i="9"/>
  <c r="I445" i="9"/>
  <c r="M444" i="9"/>
  <c r="I444" i="9"/>
  <c r="M443" i="9"/>
  <c r="I443" i="9"/>
  <c r="M442" i="9"/>
  <c r="I442" i="9"/>
  <c r="I441" i="9"/>
  <c r="M440" i="9"/>
  <c r="I440" i="9"/>
  <c r="L439" i="9"/>
  <c r="L438" i="9" s="1"/>
  <c r="M437" i="9"/>
  <c r="I437" i="9"/>
  <c r="M436" i="9"/>
  <c r="I436" i="9"/>
  <c r="M435" i="9"/>
  <c r="I435" i="9"/>
  <c r="L434" i="9"/>
  <c r="K434" i="9"/>
  <c r="K433" i="9" s="1"/>
  <c r="L433" i="9"/>
  <c r="M431" i="9"/>
  <c r="M430" i="9" s="1"/>
  <c r="M429" i="9" s="1"/>
  <c r="I431" i="9"/>
  <c r="L430" i="9"/>
  <c r="L429" i="9" s="1"/>
  <c r="K430" i="9"/>
  <c r="K429" i="9" s="1"/>
  <c r="M428" i="9"/>
  <c r="M427" i="9" s="1"/>
  <c r="I428" i="9"/>
  <c r="L427" i="9"/>
  <c r="K427" i="9"/>
  <c r="I424" i="9"/>
  <c r="L423" i="9"/>
  <c r="M422" i="9"/>
  <c r="M421" i="9" s="1"/>
  <c r="I422" i="9"/>
  <c r="L421" i="9"/>
  <c r="K421" i="9"/>
  <c r="M416" i="9"/>
  <c r="M415" i="9" s="1"/>
  <c r="M414" i="9" s="1"/>
  <c r="M413" i="9" s="1"/>
  <c r="M412" i="9" s="1"/>
  <c r="I416" i="9"/>
  <c r="L415" i="9"/>
  <c r="L414" i="9" s="1"/>
  <c r="L413" i="9" s="1"/>
  <c r="L412" i="9" s="1"/>
  <c r="K415" i="9"/>
  <c r="K414" i="9" s="1"/>
  <c r="K413" i="9" s="1"/>
  <c r="K412" i="9" s="1"/>
  <c r="M410" i="9"/>
  <c r="M409" i="9" s="1"/>
  <c r="I410" i="9"/>
  <c r="L409" i="9"/>
  <c r="I408" i="9"/>
  <c r="L407" i="9"/>
  <c r="L406" i="9" s="1"/>
  <c r="M405" i="9"/>
  <c r="I405" i="9"/>
  <c r="M404" i="9"/>
  <c r="I404" i="9"/>
  <c r="L403" i="9"/>
  <c r="M402" i="9"/>
  <c r="I402" i="9"/>
  <c r="I401" i="9"/>
  <c r="L400" i="9"/>
  <c r="M392" i="9"/>
  <c r="M391" i="9" s="1"/>
  <c r="M390" i="9" s="1"/>
  <c r="I392" i="9"/>
  <c r="L391" i="9"/>
  <c r="L390" i="9" s="1"/>
  <c r="K391" i="9"/>
  <c r="K390" i="9" s="1"/>
  <c r="M389" i="9"/>
  <c r="M388" i="9" s="1"/>
  <c r="M387" i="9" s="1"/>
  <c r="I389" i="9"/>
  <c r="L388" i="9"/>
  <c r="L387" i="9" s="1"/>
  <c r="K388" i="9"/>
  <c r="K387" i="9" s="1"/>
  <c r="M386" i="9"/>
  <c r="I386" i="9"/>
  <c r="M385" i="9"/>
  <c r="I385" i="9"/>
  <c r="I384" i="9"/>
  <c r="M383" i="9"/>
  <c r="I383" i="9"/>
  <c r="L382" i="9"/>
  <c r="L381" i="9" s="1"/>
  <c r="I379" i="9"/>
  <c r="L378" i="9"/>
  <c r="I377" i="9"/>
  <c r="L376" i="9"/>
  <c r="I375" i="9"/>
  <c r="L374" i="9"/>
  <c r="K374" i="9"/>
  <c r="I372" i="9"/>
  <c r="L371" i="9"/>
  <c r="L370" i="9" s="1"/>
  <c r="L369" i="9" s="1"/>
  <c r="I363" i="9"/>
  <c r="L362" i="9"/>
  <c r="L361" i="9" s="1"/>
  <c r="I360" i="9"/>
  <c r="I359" i="9"/>
  <c r="M358" i="9"/>
  <c r="I358" i="9"/>
  <c r="I357" i="9"/>
  <c r="M356" i="9"/>
  <c r="I356" i="9"/>
  <c r="I355" i="9"/>
  <c r="L354" i="9"/>
  <c r="L353" i="9" s="1"/>
  <c r="L352" i="9" s="1"/>
  <c r="K354" i="9"/>
  <c r="K353" i="9" s="1"/>
  <c r="M351" i="9"/>
  <c r="M350" i="9" s="1"/>
  <c r="I351" i="9"/>
  <c r="L350" i="9"/>
  <c r="K350" i="9"/>
  <c r="M349" i="9"/>
  <c r="I349" i="9"/>
  <c r="I348" i="9"/>
  <c r="L347" i="9"/>
  <c r="I344" i="9"/>
  <c r="M343" i="9"/>
  <c r="M342" i="9" s="1"/>
  <c r="M341" i="9" s="1"/>
  <c r="L343" i="9"/>
  <c r="L342" i="9" s="1"/>
  <c r="L341" i="9" s="1"/>
  <c r="K343" i="9"/>
  <c r="K342" i="9" s="1"/>
  <c r="K341" i="9" s="1"/>
  <c r="I340" i="9"/>
  <c r="L339" i="9"/>
  <c r="L338" i="9" s="1"/>
  <c r="M336" i="9"/>
  <c r="M335" i="9" s="1"/>
  <c r="I336" i="9"/>
  <c r="L335" i="9"/>
  <c r="K335" i="9"/>
  <c r="I334" i="9"/>
  <c r="I333" i="9"/>
  <c r="L332" i="9"/>
  <c r="K332" i="9"/>
  <c r="K331" i="9" s="1"/>
  <c r="I330" i="9"/>
  <c r="L329" i="9"/>
  <c r="L328" i="9" s="1"/>
  <c r="K329" i="9"/>
  <c r="K328" i="9" s="1"/>
  <c r="M323" i="9"/>
  <c r="M322" i="9" s="1"/>
  <c r="M321" i="9" s="1"/>
  <c r="I323" i="9"/>
  <c r="L322" i="9"/>
  <c r="L321" i="9" s="1"/>
  <c r="K322" i="9"/>
  <c r="K321" i="9" s="1"/>
  <c r="M320" i="9"/>
  <c r="M319" i="9" s="1"/>
  <c r="M318" i="9" s="1"/>
  <c r="I320" i="9"/>
  <c r="L319" i="9"/>
  <c r="L318" i="9" s="1"/>
  <c r="I317" i="9"/>
  <c r="I316" i="9"/>
  <c r="M315" i="9"/>
  <c r="I315" i="9"/>
  <c r="M314" i="9"/>
  <c r="I314" i="9"/>
  <c r="L313" i="9"/>
  <c r="M310" i="9"/>
  <c r="M309" i="9" s="1"/>
  <c r="M308" i="9" s="1"/>
  <c r="I310" i="9"/>
  <c r="L309" i="9"/>
  <c r="L308" i="9" s="1"/>
  <c r="K309" i="9"/>
  <c r="K308" i="9" s="1"/>
  <c r="I307" i="9"/>
  <c r="L306" i="9"/>
  <c r="M303" i="9"/>
  <c r="M302" i="9" s="1"/>
  <c r="I303" i="9"/>
  <c r="L302" i="9"/>
  <c r="K302" i="9"/>
  <c r="M301" i="9"/>
  <c r="M300" i="9" s="1"/>
  <c r="I301" i="9"/>
  <c r="L300" i="9"/>
  <c r="K300" i="9"/>
  <c r="K299" i="9"/>
  <c r="M296" i="9"/>
  <c r="M295" i="9" s="1"/>
  <c r="I296" i="9"/>
  <c r="L295" i="9"/>
  <c r="I294" i="9"/>
  <c r="L293" i="9"/>
  <c r="M292" i="9"/>
  <c r="M291" i="9" s="1"/>
  <c r="I292" i="9"/>
  <c r="L291" i="9"/>
  <c r="M290" i="9"/>
  <c r="M289" i="9" s="1"/>
  <c r="I290" i="9"/>
  <c r="L289" i="9"/>
  <c r="K289" i="9"/>
  <c r="M286" i="9"/>
  <c r="M285" i="9" s="1"/>
  <c r="M284" i="9" s="1"/>
  <c r="I286" i="9"/>
  <c r="L285" i="9"/>
  <c r="L284" i="9" s="1"/>
  <c r="M282" i="9"/>
  <c r="M281" i="9" s="1"/>
  <c r="I282" i="9"/>
  <c r="L281" i="9"/>
  <c r="K281" i="9"/>
  <c r="I280" i="9"/>
  <c r="L279" i="9"/>
  <c r="K279" i="9"/>
  <c r="M277" i="9"/>
  <c r="I277" i="9"/>
  <c r="I276" i="9"/>
  <c r="L275" i="9"/>
  <c r="L271" i="9" s="1"/>
  <c r="L270" i="9" s="1"/>
  <c r="M274" i="9"/>
  <c r="I274" i="9"/>
  <c r="I273" i="9"/>
  <c r="L272" i="9"/>
  <c r="I269" i="9"/>
  <c r="L268" i="9"/>
  <c r="I267" i="9"/>
  <c r="L266" i="9"/>
  <c r="K266" i="9"/>
  <c r="M264" i="9"/>
  <c r="M263" i="9" s="1"/>
  <c r="M262" i="9" s="1"/>
  <c r="I264" i="9"/>
  <c r="L263" i="9"/>
  <c r="L262" i="9" s="1"/>
  <c r="M251" i="9"/>
  <c r="M250" i="9" s="1"/>
  <c r="M249" i="9" s="1"/>
  <c r="I251" i="9"/>
  <c r="L250" i="9"/>
  <c r="L249" i="9" s="1"/>
  <c r="K250" i="9"/>
  <c r="K249" i="9" s="1"/>
  <c r="I248" i="9"/>
  <c r="I247" i="9"/>
  <c r="M246" i="9"/>
  <c r="I246" i="9"/>
  <c r="M245" i="9"/>
  <c r="I245" i="9"/>
  <c r="I244" i="9"/>
  <c r="M243" i="9"/>
  <c r="I243" i="9"/>
  <c r="M242" i="9"/>
  <c r="I242" i="9"/>
  <c r="L241" i="9"/>
  <c r="L240" i="9" s="1"/>
  <c r="M239" i="9"/>
  <c r="I239" i="9"/>
  <c r="M238" i="9"/>
  <c r="I238" i="9"/>
  <c r="M237" i="9"/>
  <c r="I237" i="9"/>
  <c r="M236" i="9"/>
  <c r="I236" i="9"/>
  <c r="I235" i="9"/>
  <c r="L234" i="9"/>
  <c r="L233" i="9" s="1"/>
  <c r="K234" i="9"/>
  <c r="K233" i="9" s="1"/>
  <c r="I231" i="9"/>
  <c r="L230" i="9"/>
  <c r="I229" i="9"/>
  <c r="L228" i="9"/>
  <c r="K228" i="9"/>
  <c r="I223" i="9"/>
  <c r="L222" i="9"/>
  <c r="L221" i="9" s="1"/>
  <c r="I220" i="9"/>
  <c r="L219" i="9"/>
  <c r="M218" i="9"/>
  <c r="I218" i="9"/>
  <c r="I217" i="9"/>
  <c r="M216" i="9"/>
  <c r="I216" i="9"/>
  <c r="M215" i="9"/>
  <c r="I215" i="9"/>
  <c r="L214" i="9"/>
  <c r="L213" i="9" s="1"/>
  <c r="L212" i="9" s="1"/>
  <c r="M203" i="9"/>
  <c r="M202" i="9" s="1"/>
  <c r="I203" i="9"/>
  <c r="L202" i="9"/>
  <c r="K202" i="9"/>
  <c r="M201" i="9"/>
  <c r="I201" i="9"/>
  <c r="M200" i="9"/>
  <c r="I200" i="9"/>
  <c r="M199" i="9"/>
  <c r="I199" i="9"/>
  <c r="M198" i="9"/>
  <c r="I198" i="9"/>
  <c r="M197" i="9"/>
  <c r="I197" i="9"/>
  <c r="I196" i="9"/>
  <c r="M195" i="9"/>
  <c r="I195" i="9"/>
  <c r="M194" i="9"/>
  <c r="I194" i="9"/>
  <c r="M193" i="9"/>
  <c r="I193" i="9"/>
  <c r="M192" i="9"/>
  <c r="I192" i="9"/>
  <c r="M191" i="9"/>
  <c r="I191" i="9"/>
  <c r="L190" i="9"/>
  <c r="L189" i="9" s="1"/>
  <c r="M188" i="9"/>
  <c r="I188" i="9"/>
  <c r="M187" i="9"/>
  <c r="I187" i="9"/>
  <c r="M186" i="9"/>
  <c r="I186" i="9"/>
  <c r="M185" i="9"/>
  <c r="I185" i="9"/>
  <c r="M184" i="9"/>
  <c r="I184" i="9"/>
  <c r="M183" i="9"/>
  <c r="I183" i="9"/>
  <c r="M182" i="9"/>
  <c r="I182" i="9"/>
  <c r="I181" i="9"/>
  <c r="M180" i="9"/>
  <c r="I180" i="9"/>
  <c r="M179" i="9"/>
  <c r="I179" i="9"/>
  <c r="M178" i="9"/>
  <c r="I178" i="9"/>
  <c r="M177" i="9"/>
  <c r="I177" i="9"/>
  <c r="M176" i="9"/>
  <c r="I176" i="9"/>
  <c r="M175" i="9"/>
  <c r="I175" i="9"/>
  <c r="M174" i="9"/>
  <c r="I174" i="9"/>
  <c r="I173" i="9"/>
  <c r="M172" i="9"/>
  <c r="I172" i="9"/>
  <c r="L171" i="9"/>
  <c r="M170" i="9"/>
  <c r="I170" i="9"/>
  <c r="M169" i="9"/>
  <c r="I169" i="9"/>
  <c r="M168" i="9"/>
  <c r="I168" i="9"/>
  <c r="M167" i="9"/>
  <c r="I167" i="9"/>
  <c r="L166" i="9"/>
  <c r="K166" i="9"/>
  <c r="I164" i="9"/>
  <c r="L163" i="9"/>
  <c r="L162" i="9" s="1"/>
  <c r="I161" i="9"/>
  <c r="M160" i="9"/>
  <c r="I160" i="9"/>
  <c r="M159" i="9"/>
  <c r="I159" i="9"/>
  <c r="M158" i="9"/>
  <c r="I158" i="9"/>
  <c r="I157" i="9"/>
  <c r="M156" i="9"/>
  <c r="I156" i="9"/>
  <c r="M155" i="9"/>
  <c r="I155" i="9"/>
  <c r="I154" i="9"/>
  <c r="I153" i="9"/>
  <c r="M152" i="9"/>
  <c r="I152" i="9"/>
  <c r="M151" i="9"/>
  <c r="I151" i="9"/>
  <c r="M150" i="9"/>
  <c r="I150" i="9"/>
  <c r="I149" i="9"/>
  <c r="M148" i="9"/>
  <c r="I148" i="9"/>
  <c r="M147" i="9"/>
  <c r="I147" i="9"/>
  <c r="I146" i="9"/>
  <c r="I145" i="9"/>
  <c r="L144" i="9"/>
  <c r="L143" i="9" s="1"/>
  <c r="M142" i="9"/>
  <c r="I142" i="9"/>
  <c r="M141" i="9"/>
  <c r="I141" i="9"/>
  <c r="L140" i="9"/>
  <c r="L139" i="9"/>
  <c r="I138" i="9"/>
  <c r="L137" i="9"/>
  <c r="K137" i="9"/>
  <c r="K136" i="9" s="1"/>
  <c r="L136" i="9"/>
  <c r="M134" i="9"/>
  <c r="I134" i="9"/>
  <c r="M133" i="9"/>
  <c r="I133" i="9"/>
  <c r="L132" i="9"/>
  <c r="L131" i="9" s="1"/>
  <c r="K132" i="9"/>
  <c r="K131" i="9" s="1"/>
  <c r="I130" i="9"/>
  <c r="M129" i="9"/>
  <c r="I129" i="9"/>
  <c r="L128" i="9"/>
  <c r="K128" i="9"/>
  <c r="M125" i="9"/>
  <c r="I125" i="9"/>
  <c r="M124" i="9"/>
  <c r="I124" i="9"/>
  <c r="M123" i="9"/>
  <c r="L123" i="9"/>
  <c r="I122" i="9"/>
  <c r="M121" i="9"/>
  <c r="I121" i="9"/>
  <c r="L120" i="9"/>
  <c r="K120" i="9"/>
  <c r="M115" i="9"/>
  <c r="I115" i="9"/>
  <c r="M114" i="9"/>
  <c r="I114" i="9"/>
  <c r="M113" i="9"/>
  <c r="I113" i="9"/>
  <c r="M112" i="9"/>
  <c r="I112" i="9"/>
  <c r="M111" i="9"/>
  <c r="I111" i="9"/>
  <c r="L110" i="9"/>
  <c r="L109" i="9" s="1"/>
  <c r="M108" i="9"/>
  <c r="M107" i="9" s="1"/>
  <c r="I108" i="9"/>
  <c r="L107" i="9"/>
  <c r="I106" i="9"/>
  <c r="L105" i="9"/>
  <c r="K105" i="9"/>
  <c r="M102" i="9"/>
  <c r="M101" i="9" s="1"/>
  <c r="M100" i="9" s="1"/>
  <c r="I102" i="9"/>
  <c r="L101" i="9"/>
  <c r="L100" i="9" s="1"/>
  <c r="I98" i="9"/>
  <c r="I97" i="9"/>
  <c r="L96" i="9"/>
  <c r="L95" i="9" s="1"/>
  <c r="K96" i="9"/>
  <c r="K95" i="9" s="1"/>
  <c r="M94" i="9"/>
  <c r="M93" i="9" s="1"/>
  <c r="M92" i="9" s="1"/>
  <c r="I94" i="9"/>
  <c r="L93" i="9"/>
  <c r="L92" i="9" s="1"/>
  <c r="K93" i="9"/>
  <c r="K92" i="9" s="1"/>
  <c r="I88" i="9"/>
  <c r="M87" i="9"/>
  <c r="M86" i="9" s="1"/>
  <c r="M85" i="9" s="1"/>
  <c r="M84" i="9" s="1"/>
  <c r="L87" i="9"/>
  <c r="L86" i="9" s="1"/>
  <c r="L85" i="9" s="1"/>
  <c r="L84" i="9" s="1"/>
  <c r="I83" i="9"/>
  <c r="L82" i="9"/>
  <c r="L81" i="9" s="1"/>
  <c r="L80" i="9" s="1"/>
  <c r="K82" i="9"/>
  <c r="K81" i="9" s="1"/>
  <c r="K80" i="9" s="1"/>
  <c r="M79" i="9"/>
  <c r="M78" i="9" s="1"/>
  <c r="M77" i="9" s="1"/>
  <c r="M76" i="9" s="1"/>
  <c r="M75" i="9" s="1"/>
  <c r="I79" i="9"/>
  <c r="L78" i="9"/>
  <c r="L77" i="9" s="1"/>
  <c r="L76" i="9" s="1"/>
  <c r="L75" i="9" s="1"/>
  <c r="M72" i="9"/>
  <c r="M71" i="9" s="1"/>
  <c r="I72" i="9"/>
  <c r="L71" i="9"/>
  <c r="I70" i="9"/>
  <c r="I69" i="9"/>
  <c r="M68" i="9"/>
  <c r="I68" i="9"/>
  <c r="M67" i="9"/>
  <c r="I67" i="9"/>
  <c r="M66" i="9"/>
  <c r="I66" i="9"/>
  <c r="L65" i="9"/>
  <c r="I63" i="9"/>
  <c r="L62" i="9"/>
  <c r="L61" i="9" s="1"/>
  <c r="L60" i="9" s="1"/>
  <c r="K62" i="9"/>
  <c r="K61" i="9" s="1"/>
  <c r="K60" i="9" s="1"/>
  <c r="M58" i="9"/>
  <c r="M57" i="9"/>
  <c r="I57" i="9"/>
  <c r="M56" i="9"/>
  <c r="M55" i="9"/>
  <c r="I55" i="9"/>
  <c r="M54" i="9"/>
  <c r="I54" i="9"/>
  <c r="I53" i="9"/>
  <c r="M52" i="9"/>
  <c r="I52" i="9"/>
  <c r="M51" i="9"/>
  <c r="I51" i="9"/>
  <c r="L50" i="9"/>
  <c r="M49" i="9"/>
  <c r="M48" i="9" s="1"/>
  <c r="I49" i="9"/>
  <c r="L48" i="9"/>
  <c r="K48" i="9"/>
  <c r="M47" i="9"/>
  <c r="I47" i="9"/>
  <c r="I46" i="9"/>
  <c r="L45" i="9"/>
  <c r="K45" i="9"/>
  <c r="M44" i="9"/>
  <c r="I44" i="9"/>
  <c r="M43" i="9"/>
  <c r="I43" i="9"/>
  <c r="L42" i="9"/>
  <c r="L41" i="9" s="1"/>
  <c r="L40" i="9" s="1"/>
  <c r="K42" i="9"/>
  <c r="K41" i="9" s="1"/>
  <c r="K40" i="9" s="1"/>
  <c r="M39" i="9"/>
  <c r="I39" i="9"/>
  <c r="M38" i="9"/>
  <c r="L38" i="9"/>
  <c r="I37" i="9"/>
  <c r="L36" i="9"/>
  <c r="L35" i="9" s="1"/>
  <c r="M34" i="9"/>
  <c r="I34" i="9"/>
  <c r="I33" i="9"/>
  <c r="M32" i="9"/>
  <c r="I32" i="9"/>
  <c r="I31" i="9"/>
  <c r="L30" i="9"/>
  <c r="I29" i="9"/>
  <c r="I28" i="9"/>
  <c r="M27" i="9"/>
  <c r="I27" i="9"/>
  <c r="M26" i="9"/>
  <c r="I26" i="9"/>
  <c r="L25" i="9"/>
  <c r="L24" i="9" s="1"/>
  <c r="L23" i="9" s="1"/>
  <c r="K25" i="9"/>
  <c r="M22" i="9"/>
  <c r="M21" i="9" s="1"/>
  <c r="I22" i="9"/>
  <c r="L21" i="9"/>
  <c r="M20" i="9"/>
  <c r="I20" i="9"/>
  <c r="I19" i="9"/>
  <c r="L18" i="9"/>
  <c r="M17" i="9"/>
  <c r="I17" i="9"/>
  <c r="I16" i="9"/>
  <c r="L15" i="9"/>
  <c r="I12" i="9"/>
  <c r="I11" i="9"/>
  <c r="L10" i="9"/>
  <c r="L9" i="9" s="1"/>
  <c r="M104" i="8"/>
  <c r="M103" i="8" s="1"/>
  <c r="L104" i="8"/>
  <c r="L103" i="8" s="1"/>
  <c r="L99" i="8" s="1"/>
  <c r="L574" i="8"/>
  <c r="L573" i="8" s="1"/>
  <c r="L572" i="8" s="1"/>
  <c r="L571" i="8" s="1"/>
  <c r="K573" i="8"/>
  <c r="K572" i="3"/>
  <c r="K571" i="3" s="1"/>
  <c r="M822" i="8"/>
  <c r="M821" i="8"/>
  <c r="M820" i="8"/>
  <c r="M819" i="8"/>
  <c r="M818" i="8"/>
  <c r="M817" i="8"/>
  <c r="M816" i="8"/>
  <c r="M815" i="8"/>
  <c r="M810" i="8"/>
  <c r="M809" i="8"/>
  <c r="M796" i="8"/>
  <c r="M795" i="8" s="1"/>
  <c r="M794" i="8" s="1"/>
  <c r="M793" i="8"/>
  <c r="M792" i="8" s="1"/>
  <c r="M791" i="8"/>
  <c r="M790" i="8" s="1"/>
  <c r="M788" i="8"/>
  <c r="M787" i="8"/>
  <c r="M782" i="8"/>
  <c r="M781" i="8"/>
  <c r="M770" i="8"/>
  <c r="M769" i="8" s="1"/>
  <c r="M765" i="8"/>
  <c r="M764" i="8" s="1"/>
  <c r="M763" i="8" s="1"/>
  <c r="M762" i="8" s="1"/>
  <c r="M761" i="8" s="1"/>
  <c r="M753" i="8"/>
  <c r="M752" i="8"/>
  <c r="M750" i="8"/>
  <c r="M749" i="8" s="1"/>
  <c r="M747" i="8"/>
  <c r="M746" i="8" s="1"/>
  <c r="M745" i="8" s="1"/>
  <c r="M744" i="8"/>
  <c r="M743" i="8"/>
  <c r="M742" i="8"/>
  <c r="M741" i="8"/>
  <c r="M740" i="8"/>
  <c r="M739" i="8"/>
  <c r="M738" i="8"/>
  <c r="M726" i="8"/>
  <c r="M725" i="8"/>
  <c r="M723" i="8"/>
  <c r="M722" i="8"/>
  <c r="M721" i="8" s="1"/>
  <c r="M720" i="8" s="1"/>
  <c r="M718" i="8"/>
  <c r="M717" i="8"/>
  <c r="M716" i="8" s="1"/>
  <c r="M715" i="8" s="1"/>
  <c r="M714" i="8" s="1"/>
  <c r="M713" i="8"/>
  <c r="M712" i="8" s="1"/>
  <c r="M711" i="8"/>
  <c r="M695" i="8"/>
  <c r="M694" i="8"/>
  <c r="M692" i="8"/>
  <c r="M691" i="8"/>
  <c r="M688" i="8"/>
  <c r="M687" i="8"/>
  <c r="M686" i="8"/>
  <c r="M682" i="8"/>
  <c r="M681" i="8"/>
  <c r="M666" i="8"/>
  <c r="M665" i="8" s="1"/>
  <c r="M664" i="8" s="1"/>
  <c r="M663" i="8"/>
  <c r="M662" i="8" s="1"/>
  <c r="M660" i="8"/>
  <c r="M659" i="8"/>
  <c r="M658" i="8"/>
  <c r="M657" i="8"/>
  <c r="M656" i="8"/>
  <c r="M655" i="8"/>
  <c r="M650" i="8"/>
  <c r="M649" i="8" s="1"/>
  <c r="M648" i="8" s="1"/>
  <c r="M647" i="8" s="1"/>
  <c r="M646" i="8" s="1"/>
  <c r="M638" i="8"/>
  <c r="M637" i="8"/>
  <c r="M636" i="8"/>
  <c r="M633" i="8"/>
  <c r="M632" i="8"/>
  <c r="M629" i="8"/>
  <c r="M628" i="8"/>
  <c r="M627" i="8"/>
  <c r="M626" i="8"/>
  <c r="M625" i="8"/>
  <c r="M624" i="8"/>
  <c r="M621" i="8"/>
  <c r="M620" i="8"/>
  <c r="M619" i="8"/>
  <c r="M618" i="8"/>
  <c r="M617" i="8"/>
  <c r="M616" i="8"/>
  <c r="M615" i="8"/>
  <c r="M614" i="8"/>
  <c r="M613" i="8"/>
  <c r="M609" i="8"/>
  <c r="M603" i="8"/>
  <c r="M602" i="8"/>
  <c r="M601" i="8"/>
  <c r="M600" i="8"/>
  <c r="M599" i="8"/>
  <c r="M598" i="8"/>
  <c r="M597" i="8"/>
  <c r="M596" i="8"/>
  <c r="M594" i="8"/>
  <c r="M592" i="8"/>
  <c r="M591" i="8" s="1"/>
  <c r="M581" i="8"/>
  <c r="M580" i="8" s="1"/>
  <c r="M579" i="8" s="1"/>
  <c r="M578" i="8"/>
  <c r="M575" i="8"/>
  <c r="M569" i="8"/>
  <c r="M555" i="8"/>
  <c r="M552" i="8"/>
  <c r="M548" i="8"/>
  <c r="M547" i="8" s="1"/>
  <c r="M546" i="8" s="1"/>
  <c r="M545" i="8" s="1"/>
  <c r="M544" i="8" s="1"/>
  <c r="M543" i="8" s="1"/>
  <c r="M537" i="8"/>
  <c r="M536" i="8"/>
  <c r="M535" i="8"/>
  <c r="M534" i="8"/>
  <c r="M533" i="8"/>
  <c r="M532" i="8"/>
  <c r="M531" i="8"/>
  <c r="M530" i="8"/>
  <c r="M527" i="8"/>
  <c r="M526" i="8" s="1"/>
  <c r="M525" i="8"/>
  <c r="M523" i="8"/>
  <c r="M522" i="8" s="1"/>
  <c r="M519" i="8"/>
  <c r="M518" i="8"/>
  <c r="M517" i="8"/>
  <c r="M513" i="8"/>
  <c r="M510" i="8"/>
  <c r="M509" i="8" s="1"/>
  <c r="M506" i="8"/>
  <c r="M505" i="8" s="1"/>
  <c r="M504" i="8"/>
  <c r="M503" i="8" s="1"/>
  <c r="M499" i="8"/>
  <c r="M497" i="8" s="1"/>
  <c r="M498" i="8"/>
  <c r="M496" i="8"/>
  <c r="M495" i="8" s="1"/>
  <c r="M494" i="8"/>
  <c r="M493" i="8" s="1"/>
  <c r="M492" i="8"/>
  <c r="M491" i="8" s="1"/>
  <c r="M487" i="8"/>
  <c r="M486" i="8"/>
  <c r="M483" i="8"/>
  <c r="M482" i="8" s="1"/>
  <c r="M480" i="8"/>
  <c r="M479" i="8"/>
  <c r="M477" i="8"/>
  <c r="M476" i="8" s="1"/>
  <c r="M474" i="8"/>
  <c r="M473" i="8"/>
  <c r="M471" i="8"/>
  <c r="M470" i="8"/>
  <c r="M466" i="8"/>
  <c r="M465" i="8" s="1"/>
  <c r="M464" i="8"/>
  <c r="M463" i="8"/>
  <c r="M460" i="8"/>
  <c r="M459" i="8" s="1"/>
  <c r="M458" i="8" s="1"/>
  <c r="M453" i="8"/>
  <c r="M452" i="8" s="1"/>
  <c r="M451" i="8" s="1"/>
  <c r="M450" i="8"/>
  <c r="M449" i="8"/>
  <c r="M448" i="8"/>
  <c r="M447" i="8"/>
  <c r="M446" i="8"/>
  <c r="M445" i="8"/>
  <c r="M444" i="8"/>
  <c r="M443" i="8"/>
  <c r="M442" i="8"/>
  <c r="M441" i="8"/>
  <c r="M440" i="8"/>
  <c r="M437" i="8"/>
  <c r="M436" i="8"/>
  <c r="M435" i="8"/>
  <c r="M431" i="8"/>
  <c r="M430" i="8" s="1"/>
  <c r="M429" i="8" s="1"/>
  <c r="M428" i="8"/>
  <c r="M424" i="8"/>
  <c r="M423" i="8" s="1"/>
  <c r="M422" i="8"/>
  <c r="M421" i="8" s="1"/>
  <c r="M416" i="8"/>
  <c r="M415" i="8" s="1"/>
  <c r="M414" i="8" s="1"/>
  <c r="M413" i="8" s="1"/>
  <c r="M412" i="8" s="1"/>
  <c r="M410" i="8"/>
  <c r="M409" i="8" s="1"/>
  <c r="M408" i="8"/>
  <c r="M407" i="8" s="1"/>
  <c r="M405" i="8"/>
  <c r="M404" i="8"/>
  <c r="M403" i="8" s="1"/>
  <c r="M402" i="8"/>
  <c r="M401" i="8"/>
  <c r="M392" i="8"/>
  <c r="M391" i="8" s="1"/>
  <c r="M390" i="8" s="1"/>
  <c r="M389" i="8"/>
  <c r="M388" i="8" s="1"/>
  <c r="M387" i="8" s="1"/>
  <c r="M386" i="8"/>
  <c r="M385" i="8"/>
  <c r="M384" i="8"/>
  <c r="M383" i="8"/>
  <c r="M379" i="8"/>
  <c r="M377" i="8"/>
  <c r="M376" i="8" s="1"/>
  <c r="M375" i="8"/>
  <c r="M374" i="8" s="1"/>
  <c r="M372" i="8"/>
  <c r="M371" i="8" s="1"/>
  <c r="M370" i="8" s="1"/>
  <c r="M369" i="8" s="1"/>
  <c r="M363" i="8"/>
  <c r="M362" i="8" s="1"/>
  <c r="M361" i="8" s="1"/>
  <c r="M360" i="8"/>
  <c r="M359" i="8"/>
  <c r="M358" i="8"/>
  <c r="M357" i="8"/>
  <c r="M356" i="8"/>
  <c r="M355" i="8"/>
  <c r="M351" i="8"/>
  <c r="M350" i="8" s="1"/>
  <c r="M349" i="8"/>
  <c r="M348" i="8"/>
  <c r="M340" i="8"/>
  <c r="M339" i="8" s="1"/>
  <c r="M338" i="8" s="1"/>
  <c r="M336" i="8"/>
  <c r="M335" i="8" s="1"/>
  <c r="M334" i="8"/>
  <c r="M333" i="8"/>
  <c r="M330" i="8"/>
  <c r="M329" i="8" s="1"/>
  <c r="M328" i="8" s="1"/>
  <c r="M323" i="8"/>
  <c r="M322" i="8" s="1"/>
  <c r="M321" i="8" s="1"/>
  <c r="M320" i="8"/>
  <c r="M319" i="8" s="1"/>
  <c r="M318" i="8" s="1"/>
  <c r="M317" i="8"/>
  <c r="M316" i="8"/>
  <c r="M315" i="8"/>
  <c r="M314" i="8"/>
  <c r="M310" i="8"/>
  <c r="M307" i="8"/>
  <c r="M306" i="8" s="1"/>
  <c r="M303" i="8"/>
  <c r="M302" i="8" s="1"/>
  <c r="M301" i="8"/>
  <c r="M300" i="8" s="1"/>
  <c r="M296" i="8"/>
  <c r="M295" i="8" s="1"/>
  <c r="M294" i="8"/>
  <c r="M293" i="8" s="1"/>
  <c r="M292" i="8"/>
  <c r="M291" i="8" s="1"/>
  <c r="M290" i="8"/>
  <c r="M286" i="8"/>
  <c r="M285" i="8" s="1"/>
  <c r="M284" i="8" s="1"/>
  <c r="M282" i="8"/>
  <c r="M281" i="8" s="1"/>
  <c r="M280" i="8"/>
  <c r="M279" i="8" s="1"/>
  <c r="M277" i="8"/>
  <c r="M276" i="8"/>
  <c r="M274" i="8"/>
  <c r="M273" i="8"/>
  <c r="M269" i="8"/>
  <c r="M268" i="8" s="1"/>
  <c r="M267" i="8"/>
  <c r="M266" i="8" s="1"/>
  <c r="M264" i="8"/>
  <c r="M263" i="8" s="1"/>
  <c r="M262" i="8" s="1"/>
  <c r="M251" i="8"/>
  <c r="M250" i="8" s="1"/>
  <c r="M249" i="8" s="1"/>
  <c r="M248" i="8"/>
  <c r="M247" i="8"/>
  <c r="M246" i="8"/>
  <c r="M245" i="8"/>
  <c r="M244" i="8"/>
  <c r="M243" i="8"/>
  <c r="M242" i="8"/>
  <c r="M239" i="8"/>
  <c r="M238" i="8"/>
  <c r="M237" i="8"/>
  <c r="M236" i="8"/>
  <c r="M235" i="8"/>
  <c r="M231" i="8"/>
  <c r="M230" i="8" s="1"/>
  <c r="M229" i="8"/>
  <c r="M223" i="8"/>
  <c r="M222" i="8" s="1"/>
  <c r="M221" i="8" s="1"/>
  <c r="M220" i="8"/>
  <c r="M219" i="8" s="1"/>
  <c r="M218" i="8"/>
  <c r="M217" i="8"/>
  <c r="M216" i="8"/>
  <c r="M215" i="8"/>
  <c r="M203" i="8"/>
  <c r="M202" i="8" s="1"/>
  <c r="M201" i="8"/>
  <c r="M200" i="8"/>
  <c r="M199" i="8"/>
  <c r="M198" i="8"/>
  <c r="M197" i="8"/>
  <c r="M196" i="8"/>
  <c r="M195" i="8"/>
  <c r="M194" i="8"/>
  <c r="M193" i="8"/>
  <c r="M192" i="8"/>
  <c r="M191" i="8"/>
  <c r="M188" i="8"/>
  <c r="M187" i="8"/>
  <c r="M186" i="8"/>
  <c r="M185" i="8"/>
  <c r="M184" i="8"/>
  <c r="M183" i="8"/>
  <c r="M182" i="8"/>
  <c r="M181" i="8"/>
  <c r="M180" i="8"/>
  <c r="M179" i="8"/>
  <c r="M178" i="8"/>
  <c r="M177" i="8"/>
  <c r="M176" i="8"/>
  <c r="M175" i="8"/>
  <c r="M174" i="8"/>
  <c r="M173" i="8"/>
  <c r="M172" i="8"/>
  <c r="M170" i="8"/>
  <c r="M169" i="8"/>
  <c r="M168" i="8"/>
  <c r="M167" i="8"/>
  <c r="M164" i="8"/>
  <c r="M163" i="8" s="1"/>
  <c r="M162" i="8" s="1"/>
  <c r="M161" i="8"/>
  <c r="M160" i="8"/>
  <c r="M159" i="8"/>
  <c r="M158" i="8"/>
  <c r="M157" i="8"/>
  <c r="M156" i="8"/>
  <c r="M155" i="8"/>
  <c r="M154" i="8"/>
  <c r="M153" i="8"/>
  <c r="M152" i="8"/>
  <c r="M151" i="8"/>
  <c r="M150" i="8"/>
  <c r="M149" i="8"/>
  <c r="M148" i="8"/>
  <c r="M147" i="8"/>
  <c r="M146" i="8"/>
  <c r="M145" i="8"/>
  <c r="M142" i="8"/>
  <c r="M141" i="8"/>
  <c r="M138" i="8"/>
  <c r="M137" i="8" s="1"/>
  <c r="M136" i="8" s="1"/>
  <c r="M134" i="8"/>
  <c r="M133" i="8"/>
  <c r="M130" i="8"/>
  <c r="M129" i="8"/>
  <c r="M125" i="8"/>
  <c r="M124" i="8"/>
  <c r="M122" i="8"/>
  <c r="M121" i="8"/>
  <c r="M115" i="8"/>
  <c r="M114" i="8"/>
  <c r="M113" i="8"/>
  <c r="M112" i="8"/>
  <c r="M111" i="8"/>
  <c r="M108" i="8"/>
  <c r="M107" i="8" s="1"/>
  <c r="M106" i="8"/>
  <c r="M105" i="8" s="1"/>
  <c r="M102" i="8"/>
  <c r="M101" i="8" s="1"/>
  <c r="M100" i="8" s="1"/>
  <c r="M98" i="8"/>
  <c r="M97" i="8"/>
  <c r="M94" i="8"/>
  <c r="M93" i="8" s="1"/>
  <c r="M92" i="8" s="1"/>
  <c r="M83" i="8"/>
  <c r="M82" i="8" s="1"/>
  <c r="M81" i="8" s="1"/>
  <c r="M80" i="8" s="1"/>
  <c r="M79" i="8"/>
  <c r="M78" i="8" s="1"/>
  <c r="M77" i="8" s="1"/>
  <c r="M76" i="8" s="1"/>
  <c r="M75" i="8" s="1"/>
  <c r="M72" i="8"/>
  <c r="M71" i="8" s="1"/>
  <c r="M70" i="8"/>
  <c r="M69" i="8"/>
  <c r="M68" i="8"/>
  <c r="M67" i="8"/>
  <c r="M66" i="8"/>
  <c r="M63" i="8"/>
  <c r="M62" i="8" s="1"/>
  <c r="M61" i="8" s="1"/>
  <c r="M60" i="8" s="1"/>
  <c r="M58" i="8"/>
  <c r="M57" i="8"/>
  <c r="M56" i="8"/>
  <c r="M55" i="8"/>
  <c r="M54" i="8"/>
  <c r="M53" i="8"/>
  <c r="M52" i="8"/>
  <c r="M51" i="8"/>
  <c r="M49" i="8"/>
  <c r="M48" i="8" s="1"/>
  <c r="M47" i="8"/>
  <c r="M46" i="8"/>
  <c r="M44" i="8"/>
  <c r="M43" i="8"/>
  <c r="M39" i="8"/>
  <c r="M38" i="8" s="1"/>
  <c r="M37" i="8"/>
  <c r="M36" i="8" s="1"/>
  <c r="M34" i="8"/>
  <c r="M33" i="8"/>
  <c r="M32" i="8"/>
  <c r="M31" i="8"/>
  <c r="M29" i="8"/>
  <c r="M28" i="8"/>
  <c r="M27" i="8"/>
  <c r="M26" i="8"/>
  <c r="M22" i="8"/>
  <c r="M21" i="8" s="1"/>
  <c r="M20" i="8"/>
  <c r="M19" i="8"/>
  <c r="M17" i="8"/>
  <c r="M16" i="8"/>
  <c r="M12" i="8"/>
  <c r="M11" i="8"/>
  <c r="M785" i="8"/>
  <c r="M784" i="8" s="1"/>
  <c r="M783" i="8" s="1"/>
  <c r="M767" i="8"/>
  <c r="M710" i="8"/>
  <c r="M690" i="8"/>
  <c r="M689" i="8" s="1"/>
  <c r="M667" i="8"/>
  <c r="M608" i="8"/>
  <c r="M607" i="8" s="1"/>
  <c r="M606" i="8" s="1"/>
  <c r="M605" i="8" s="1"/>
  <c r="M604" i="8" s="1"/>
  <c r="M593" i="8"/>
  <c r="M577" i="8"/>
  <c r="M576" i="8" s="1"/>
  <c r="M574" i="8"/>
  <c r="M568" i="8"/>
  <c r="M567" i="8" s="1"/>
  <c r="M566" i="8" s="1"/>
  <c r="M565" i="8" s="1"/>
  <c r="M564" i="8" s="1"/>
  <c r="M563" i="8" s="1"/>
  <c r="M562" i="8" s="1"/>
  <c r="M561" i="8" s="1"/>
  <c r="M551" i="8"/>
  <c r="M550" i="8" s="1"/>
  <c r="M549" i="8" s="1"/>
  <c r="M524" i="8"/>
  <c r="M512" i="8"/>
  <c r="M511" i="8" s="1"/>
  <c r="M462" i="8"/>
  <c r="M427" i="8"/>
  <c r="M378" i="8"/>
  <c r="M343" i="8"/>
  <c r="M342" i="8" s="1"/>
  <c r="M341" i="8" s="1"/>
  <c r="M309" i="8"/>
  <c r="M308" i="8" s="1"/>
  <c r="M289" i="8"/>
  <c r="M228" i="8"/>
  <c r="M87" i="8"/>
  <c r="M86" i="8" s="1"/>
  <c r="M85" i="8" s="1"/>
  <c r="M84" i="8" s="1"/>
  <c r="L814" i="8"/>
  <c r="L813" i="8" s="1"/>
  <c r="L812" i="8" s="1"/>
  <c r="L811" i="8" s="1"/>
  <c r="L808" i="8"/>
  <c r="L807" i="8" s="1"/>
  <c r="L806" i="8" s="1"/>
  <c r="L805" i="8" s="1"/>
  <c r="L804" i="8" s="1"/>
  <c r="L795" i="8"/>
  <c r="L794" i="8" s="1"/>
  <c r="L792" i="8"/>
  <c r="L790" i="8"/>
  <c r="L785" i="8"/>
  <c r="L784" i="8" s="1"/>
  <c r="L783" i="8" s="1"/>
  <c r="L780" i="8"/>
  <c r="L779" i="8" s="1"/>
  <c r="L778" i="8" s="1"/>
  <c r="L777" i="8" s="1"/>
  <c r="L769" i="8"/>
  <c r="L767" i="8"/>
  <c r="L764" i="8"/>
  <c r="L763" i="8" s="1"/>
  <c r="L762" i="8" s="1"/>
  <c r="L761" i="8" s="1"/>
  <c r="L751" i="8"/>
  <c r="L749" i="8"/>
  <c r="L746" i="8"/>
  <c r="L745" i="8" s="1"/>
  <c r="L737" i="8"/>
  <c r="L736" i="8" s="1"/>
  <c r="L724" i="8"/>
  <c r="L721" i="8"/>
  <c r="L720" i="8" s="1"/>
  <c r="L716" i="8"/>
  <c r="L715" i="8" s="1"/>
  <c r="L714" i="8" s="1"/>
  <c r="L712" i="8"/>
  <c r="L710" i="8"/>
  <c r="L693" i="8"/>
  <c r="L690" i="8"/>
  <c r="L689" i="8" s="1"/>
  <c r="L685" i="8"/>
  <c r="L684" i="8" s="1"/>
  <c r="L680" i="8"/>
  <c r="L679" i="8" s="1"/>
  <c r="L678" i="8" s="1"/>
  <c r="L677" i="8" s="1"/>
  <c r="L676" i="8" s="1"/>
  <c r="L667" i="8"/>
  <c r="L665" i="8"/>
  <c r="L664" i="8" s="1"/>
  <c r="L662" i="8"/>
  <c r="L654" i="8"/>
  <c r="L653" i="8" s="1"/>
  <c r="L652" i="8" s="1"/>
  <c r="L651" i="8" s="1"/>
  <c r="L649" i="8"/>
  <c r="L648" i="8" s="1"/>
  <c r="L647" i="8" s="1"/>
  <c r="L646" i="8" s="1"/>
  <c r="K814" i="8"/>
  <c r="K813" i="8" s="1"/>
  <c r="K812" i="8" s="1"/>
  <c r="K811" i="8" s="1"/>
  <c r="K808" i="8"/>
  <c r="K807" i="8" s="1"/>
  <c r="K806" i="8" s="1"/>
  <c r="K805" i="8" s="1"/>
  <c r="K804" i="8" s="1"/>
  <c r="K790" i="8"/>
  <c r="K792" i="8"/>
  <c r="K795" i="8"/>
  <c r="K794" i="8" s="1"/>
  <c r="K780" i="8"/>
  <c r="K779" i="8" s="1"/>
  <c r="K778" i="8" s="1"/>
  <c r="K777" i="8" s="1"/>
  <c r="K785" i="8"/>
  <c r="K784" i="8" s="1"/>
  <c r="K783" i="8" s="1"/>
  <c r="K769" i="8"/>
  <c r="K767" i="8"/>
  <c r="K764" i="8"/>
  <c r="K763" i="8" s="1"/>
  <c r="K762" i="8" s="1"/>
  <c r="K761" i="8" s="1"/>
  <c r="K751" i="8"/>
  <c r="K749" i="8"/>
  <c r="K746" i="8"/>
  <c r="K745" i="8" s="1"/>
  <c r="K737" i="8"/>
  <c r="K736" i="8" s="1"/>
  <c r="K716" i="8"/>
  <c r="K715" i="8" s="1"/>
  <c r="K714" i="8" s="1"/>
  <c r="K712" i="8"/>
  <c r="K710" i="8"/>
  <c r="K724" i="8"/>
  <c r="K721" i="8"/>
  <c r="K720" i="8" s="1"/>
  <c r="K690" i="8"/>
  <c r="K693" i="8"/>
  <c r="K685" i="8"/>
  <c r="K684" i="8" s="1"/>
  <c r="K680" i="8"/>
  <c r="K679" i="8" s="1"/>
  <c r="K678" i="8" s="1"/>
  <c r="K677" i="8" s="1"/>
  <c r="K676" i="8" s="1"/>
  <c r="K667" i="8"/>
  <c r="K665" i="8"/>
  <c r="K664" i="8" s="1"/>
  <c r="K662" i="8"/>
  <c r="K654" i="8"/>
  <c r="K653" i="8" s="1"/>
  <c r="K652" i="8" s="1"/>
  <c r="K651" i="8" s="1"/>
  <c r="K649" i="8"/>
  <c r="K648" i="8" s="1"/>
  <c r="K647" i="8" s="1"/>
  <c r="K646" i="8" s="1"/>
  <c r="L551" i="8"/>
  <c r="L550" i="8" s="1"/>
  <c r="L549" i="8" s="1"/>
  <c r="K551" i="8"/>
  <c r="K550" i="8" s="1"/>
  <c r="K549" i="8" s="1"/>
  <c r="L132" i="8"/>
  <c r="L131" i="8" s="1"/>
  <c r="L128" i="8"/>
  <c r="L123" i="8"/>
  <c r="L120" i="8"/>
  <c r="K123" i="8"/>
  <c r="K120" i="8"/>
  <c r="L110" i="8"/>
  <c r="L109" i="8" s="1"/>
  <c r="L107" i="8"/>
  <c r="L105" i="8"/>
  <c r="L101" i="8"/>
  <c r="L100" i="8" s="1"/>
  <c r="K110" i="8"/>
  <c r="K109" i="8" s="1"/>
  <c r="L635" i="8"/>
  <c r="L634" i="8" s="1"/>
  <c r="L631" i="8"/>
  <c r="L630" i="8" s="1"/>
  <c r="L623" i="8"/>
  <c r="L622" i="8" s="1"/>
  <c r="L612" i="8"/>
  <c r="L611" i="8" s="1"/>
  <c r="L608" i="8"/>
  <c r="L607" i="8" s="1"/>
  <c r="L606" i="8" s="1"/>
  <c r="L605" i="8" s="1"/>
  <c r="L604" i="8" s="1"/>
  <c r="L595" i="8"/>
  <c r="L593" i="8"/>
  <c r="L591" i="8"/>
  <c r="L580" i="8"/>
  <c r="L579" i="8" s="1"/>
  <c r="L577" i="8"/>
  <c r="L576" i="8" s="1"/>
  <c r="L568" i="8"/>
  <c r="L567" i="8" s="1"/>
  <c r="L566" i="8" s="1"/>
  <c r="L565" i="8" s="1"/>
  <c r="L564" i="8" s="1"/>
  <c r="L563" i="8" s="1"/>
  <c r="L562" i="8" s="1"/>
  <c r="L561" i="8" s="1"/>
  <c r="L547" i="8"/>
  <c r="L546" i="8" s="1"/>
  <c r="L545" i="8" s="1"/>
  <c r="L544" i="8" s="1"/>
  <c r="L543" i="8" s="1"/>
  <c r="L529" i="8"/>
  <c r="L528" i="8" s="1"/>
  <c r="L526" i="8"/>
  <c r="L524" i="8"/>
  <c r="L522" i="8"/>
  <c r="L516" i="8"/>
  <c r="L515" i="8" s="1"/>
  <c r="L512" i="8"/>
  <c r="L511" i="8" s="1"/>
  <c r="L509" i="8"/>
  <c r="L505" i="8"/>
  <c r="L503" i="8"/>
  <c r="L497" i="8"/>
  <c r="L495" i="8"/>
  <c r="L493" i="8"/>
  <c r="L491" i="8"/>
  <c r="L485" i="8"/>
  <c r="L484" i="8" s="1"/>
  <c r="L482" i="8"/>
  <c r="L478" i="8"/>
  <c r="L476" i="8"/>
  <c r="L472" i="8"/>
  <c r="L469" i="8"/>
  <c r="L465" i="8"/>
  <c r="L462" i="8"/>
  <c r="L459" i="8"/>
  <c r="L458" i="8" s="1"/>
  <c r="L452" i="8"/>
  <c r="L451" i="8" s="1"/>
  <c r="L439" i="8"/>
  <c r="L438" i="8" s="1"/>
  <c r="L434" i="8"/>
  <c r="L433" i="8" s="1"/>
  <c r="L430" i="8"/>
  <c r="L429" i="8" s="1"/>
  <c r="L427" i="8"/>
  <c r="L423" i="8"/>
  <c r="L421" i="8"/>
  <c r="L415" i="8"/>
  <c r="L414" i="8" s="1"/>
  <c r="L413" i="8" s="1"/>
  <c r="L412" i="8" s="1"/>
  <c r="L409" i="8"/>
  <c r="L407" i="8"/>
  <c r="L403" i="8"/>
  <c r="L400" i="8"/>
  <c r="L391" i="8"/>
  <c r="L390" i="8" s="1"/>
  <c r="L388" i="8"/>
  <c r="L387" i="8" s="1"/>
  <c r="L382" i="8"/>
  <c r="L381" i="8" s="1"/>
  <c r="L378" i="8"/>
  <c r="L376" i="8"/>
  <c r="L374" i="8"/>
  <c r="L371" i="8"/>
  <c r="L370" i="8" s="1"/>
  <c r="L369" i="8" s="1"/>
  <c r="L362" i="8"/>
  <c r="L361" i="8" s="1"/>
  <c r="L354" i="8"/>
  <c r="L353" i="8" s="1"/>
  <c r="L350" i="8"/>
  <c r="L347" i="8"/>
  <c r="L343" i="8"/>
  <c r="L342" i="8" s="1"/>
  <c r="L341" i="8" s="1"/>
  <c r="L339" i="8"/>
  <c r="L338" i="8" s="1"/>
  <c r="L335" i="8"/>
  <c r="L332" i="8"/>
  <c r="L329" i="8"/>
  <c r="L328" i="8" s="1"/>
  <c r="L322" i="8"/>
  <c r="L321" i="8" s="1"/>
  <c r="L319" i="8"/>
  <c r="L318" i="8" s="1"/>
  <c r="L313" i="8"/>
  <c r="L309" i="8"/>
  <c r="L308" i="8" s="1"/>
  <c r="L306" i="8"/>
  <c r="L302" i="8"/>
  <c r="L300" i="8"/>
  <c r="L295" i="8"/>
  <c r="L293" i="8"/>
  <c r="L291" i="8"/>
  <c r="L289" i="8"/>
  <c r="L285" i="8"/>
  <c r="L284" i="8" s="1"/>
  <c r="L281" i="8"/>
  <c r="L279" i="8"/>
  <c r="L275" i="8"/>
  <c r="L272" i="8"/>
  <c r="L268" i="8"/>
  <c r="L266" i="8"/>
  <c r="L263" i="8"/>
  <c r="L262" i="8" s="1"/>
  <c r="L250" i="8"/>
  <c r="L249" i="8" s="1"/>
  <c r="L241" i="8"/>
  <c r="L240" i="8" s="1"/>
  <c r="L234" i="8"/>
  <c r="L233" i="8" s="1"/>
  <c r="L230" i="8"/>
  <c r="L228" i="8"/>
  <c r="L222" i="8"/>
  <c r="L221" i="8" s="1"/>
  <c r="L219" i="8"/>
  <c r="L214" i="8"/>
  <c r="L202" i="8"/>
  <c r="L190" i="8"/>
  <c r="L189" i="8" s="1"/>
  <c r="L171" i="8"/>
  <c r="L166" i="8"/>
  <c r="L163" i="8"/>
  <c r="L162" i="8" s="1"/>
  <c r="L144" i="8"/>
  <c r="L143" i="8" s="1"/>
  <c r="L140" i="8"/>
  <c r="L139" i="8" s="1"/>
  <c r="L137" i="8"/>
  <c r="L136" i="8" s="1"/>
  <c r="L96" i="8"/>
  <c r="L95" i="8" s="1"/>
  <c r="L93" i="8"/>
  <c r="L92" i="8" s="1"/>
  <c r="L87" i="8"/>
  <c r="L86" i="8" s="1"/>
  <c r="L85" i="8" s="1"/>
  <c r="L84" i="8" s="1"/>
  <c r="L82" i="8"/>
  <c r="L81" i="8" s="1"/>
  <c r="L80" i="8" s="1"/>
  <c r="L78" i="8"/>
  <c r="L77" i="8" s="1"/>
  <c r="L76" i="8" s="1"/>
  <c r="L75" i="8" s="1"/>
  <c r="L71" i="8"/>
  <c r="L65" i="8"/>
  <c r="L62" i="8"/>
  <c r="L61" i="8" s="1"/>
  <c r="L60" i="8" s="1"/>
  <c r="L50" i="8"/>
  <c r="L48" i="8"/>
  <c r="L45" i="8"/>
  <c r="L42" i="8"/>
  <c r="L41" i="8" s="1"/>
  <c r="L40" i="8" s="1"/>
  <c r="L38" i="8"/>
  <c r="L36" i="8"/>
  <c r="L30" i="8"/>
  <c r="L25" i="8"/>
  <c r="L21" i="8"/>
  <c r="L18" i="8"/>
  <c r="L15" i="8"/>
  <c r="L10" i="8"/>
  <c r="L9" i="8" s="1"/>
  <c r="K635" i="8"/>
  <c r="K634" i="8" s="1"/>
  <c r="K631" i="8"/>
  <c r="K630" i="8" s="1"/>
  <c r="K623" i="8"/>
  <c r="K622" i="8" s="1"/>
  <c r="K612" i="8"/>
  <c r="K611" i="8" s="1"/>
  <c r="K595" i="8"/>
  <c r="K593" i="8"/>
  <c r="K591" i="8"/>
  <c r="K608" i="8"/>
  <c r="K607" i="8" s="1"/>
  <c r="K606" i="8" s="1"/>
  <c r="K605" i="8" s="1"/>
  <c r="K604" i="8" s="1"/>
  <c r="K580" i="8"/>
  <c r="K579" i="8" s="1"/>
  <c r="K572" i="8"/>
  <c r="K571" i="8" s="1"/>
  <c r="K574" i="8"/>
  <c r="K577" i="8"/>
  <c r="K576" i="8" s="1"/>
  <c r="K568" i="8"/>
  <c r="K567" i="8" s="1"/>
  <c r="K566" i="8" s="1"/>
  <c r="K565" i="8" s="1"/>
  <c r="K564" i="8" s="1"/>
  <c r="K563" i="8" s="1"/>
  <c r="K562" i="8" s="1"/>
  <c r="K561" i="8" s="1"/>
  <c r="K547" i="8"/>
  <c r="K546" i="8" s="1"/>
  <c r="K545" i="8" s="1"/>
  <c r="K544" i="8" s="1"/>
  <c r="K543" i="8" s="1"/>
  <c r="K263" i="8"/>
  <c r="K262" i="8" s="1"/>
  <c r="K459" i="8"/>
  <c r="K458" i="8" s="1"/>
  <c r="K529" i="8"/>
  <c r="K528" i="8" s="1"/>
  <c r="K526" i="8"/>
  <c r="K524" i="8"/>
  <c r="K522" i="8"/>
  <c r="K516" i="8"/>
  <c r="K515" i="8" s="1"/>
  <c r="K503" i="8"/>
  <c r="K505" i="8"/>
  <c r="K509" i="8"/>
  <c r="K512" i="8"/>
  <c r="K511" i="8" s="1"/>
  <c r="K497" i="8"/>
  <c r="K495" i="8"/>
  <c r="K493" i="8"/>
  <c r="K491" i="8"/>
  <c r="K485" i="8"/>
  <c r="K484" i="8" s="1"/>
  <c r="K482" i="8"/>
  <c r="K476" i="8"/>
  <c r="K478" i="8"/>
  <c r="K472" i="8"/>
  <c r="K469" i="8"/>
  <c r="K465" i="8"/>
  <c r="K462" i="8" s="1"/>
  <c r="K452" i="8"/>
  <c r="K451" i="8" s="1"/>
  <c r="K439" i="8"/>
  <c r="K438" i="8" s="1"/>
  <c r="K434" i="8"/>
  <c r="K433" i="8" s="1"/>
  <c r="K430" i="8"/>
  <c r="K429" i="8" s="1"/>
  <c r="K427" i="8"/>
  <c r="K423" i="8"/>
  <c r="K421" i="8"/>
  <c r="K415" i="8"/>
  <c r="K414" i="8" s="1"/>
  <c r="K413" i="8" s="1"/>
  <c r="K412" i="8" s="1"/>
  <c r="K409" i="8"/>
  <c r="K407" i="8"/>
  <c r="K403" i="8"/>
  <c r="K400" i="8"/>
  <c r="K391" i="8"/>
  <c r="K390" i="8" s="1"/>
  <c r="K388" i="8"/>
  <c r="K387" i="8" s="1"/>
  <c r="K382" i="8"/>
  <c r="K381" i="8" s="1"/>
  <c r="K378" i="8"/>
  <c r="K376" i="8"/>
  <c r="K374" i="8"/>
  <c r="K371" i="8"/>
  <c r="K370" i="8" s="1"/>
  <c r="K369" i="8" s="1"/>
  <c r="K362" i="8"/>
  <c r="K361" i="8" s="1"/>
  <c r="K354" i="8"/>
  <c r="K353" i="8" s="1"/>
  <c r="K350" i="8"/>
  <c r="K347" i="8"/>
  <c r="K343" i="8"/>
  <c r="K342" i="8" s="1"/>
  <c r="K341" i="8" s="1"/>
  <c r="K339" i="8"/>
  <c r="K338" i="8" s="1"/>
  <c r="K335" i="8"/>
  <c r="K332" i="8"/>
  <c r="K329" i="8"/>
  <c r="K328" i="8" s="1"/>
  <c r="K322" i="8"/>
  <c r="K321" i="8" s="1"/>
  <c r="K319" i="8"/>
  <c r="K318" i="8" s="1"/>
  <c r="K313" i="8"/>
  <c r="K309" i="8"/>
  <c r="K308" i="8" s="1"/>
  <c r="K306" i="8"/>
  <c r="K302" i="8"/>
  <c r="K300" i="8"/>
  <c r="K295" i="8"/>
  <c r="K293" i="8"/>
  <c r="K291" i="8"/>
  <c r="K289" i="8"/>
  <c r="K285" i="8"/>
  <c r="K284" i="8" s="1"/>
  <c r="K281" i="8"/>
  <c r="K279" i="8"/>
  <c r="K275" i="8"/>
  <c r="K272" i="8"/>
  <c r="K268" i="8"/>
  <c r="K266" i="8"/>
  <c r="K241" i="8"/>
  <c r="K240" i="8" s="1"/>
  <c r="K250" i="8"/>
  <c r="K249" i="8" s="1"/>
  <c r="K234" i="8"/>
  <c r="K233" i="8" s="1"/>
  <c r="K230" i="8"/>
  <c r="K228" i="8"/>
  <c r="K222" i="8"/>
  <c r="K221" i="8" s="1"/>
  <c r="K219" i="8"/>
  <c r="K214" i="8"/>
  <c r="K202" i="8"/>
  <c r="K190" i="8"/>
  <c r="K189" i="8" s="1"/>
  <c r="K171" i="8"/>
  <c r="K166" i="8"/>
  <c r="K163" i="8"/>
  <c r="K162" i="8" s="1"/>
  <c r="K144" i="8"/>
  <c r="K143" i="8" s="1"/>
  <c r="K140" i="8"/>
  <c r="K139" i="8" s="1"/>
  <c r="K137" i="8"/>
  <c r="K136" i="8" s="1"/>
  <c r="K132" i="8"/>
  <c r="K131" i="8" s="1"/>
  <c r="K128" i="8"/>
  <c r="K107" i="8"/>
  <c r="K105" i="8"/>
  <c r="K104" i="8" s="1"/>
  <c r="K101" i="8"/>
  <c r="K100" i="8" s="1"/>
  <c r="K96" i="8"/>
  <c r="K95" i="8" s="1"/>
  <c r="K93" i="8"/>
  <c r="K92" i="8" s="1"/>
  <c r="K87" i="8"/>
  <c r="K86" i="8" s="1"/>
  <c r="K85" i="8" s="1"/>
  <c r="K84" i="8" s="1"/>
  <c r="K82" i="8"/>
  <c r="K81" i="8" s="1"/>
  <c r="K80" i="8" s="1"/>
  <c r="K78" i="8"/>
  <c r="K77" i="8" s="1"/>
  <c r="K76" i="8" s="1"/>
  <c r="K75" i="8" s="1"/>
  <c r="K71" i="8"/>
  <c r="K65" i="8"/>
  <c r="K62" i="8"/>
  <c r="K61" i="8" s="1"/>
  <c r="K60" i="8" s="1"/>
  <c r="K50" i="8"/>
  <c r="K48" i="8"/>
  <c r="K45" i="8"/>
  <c r="K42" i="8"/>
  <c r="K41" i="8" s="1"/>
  <c r="K40" i="8" s="1"/>
  <c r="K38" i="8"/>
  <c r="K36" i="8"/>
  <c r="K30" i="8"/>
  <c r="K25" i="8"/>
  <c r="K21" i="8"/>
  <c r="K18" i="8"/>
  <c r="K15" i="8"/>
  <c r="K10" i="8"/>
  <c r="K9" i="8" s="1"/>
  <c r="I638" i="8"/>
  <c r="I637" i="8"/>
  <c r="I636" i="8"/>
  <c r="I629" i="8"/>
  <c r="I628" i="8"/>
  <c r="I627" i="8"/>
  <c r="I626" i="8"/>
  <c r="I625" i="8"/>
  <c r="I624" i="8"/>
  <c r="I621" i="8"/>
  <c r="I620" i="8"/>
  <c r="I619" i="8"/>
  <c r="I618" i="8"/>
  <c r="I617" i="8"/>
  <c r="I616" i="8"/>
  <c r="I615" i="8"/>
  <c r="I614" i="8"/>
  <c r="I613" i="8"/>
  <c r="I609" i="8"/>
  <c r="I603" i="8"/>
  <c r="I602" i="8"/>
  <c r="I601" i="8"/>
  <c r="I600" i="8"/>
  <c r="I599" i="8"/>
  <c r="I598" i="8"/>
  <c r="I597" i="8"/>
  <c r="I596" i="8"/>
  <c r="I594" i="8"/>
  <c r="I592" i="8"/>
  <c r="I581" i="8"/>
  <c r="I578" i="8"/>
  <c r="I575" i="8"/>
  <c r="I573" i="8"/>
  <c r="I569" i="8"/>
  <c r="I555" i="8"/>
  <c r="I552" i="8"/>
  <c r="I548" i="8"/>
  <c r="I537" i="8"/>
  <c r="I536" i="8"/>
  <c r="I535" i="8"/>
  <c r="I534" i="8"/>
  <c r="I533" i="8"/>
  <c r="I532" i="8"/>
  <c r="I531" i="8"/>
  <c r="I530" i="8"/>
  <c r="I527" i="8"/>
  <c r="I525" i="8"/>
  <c r="I523" i="8"/>
  <c r="I519" i="8"/>
  <c r="I518" i="8"/>
  <c r="I517" i="8"/>
  <c r="I513" i="8"/>
  <c r="I510" i="8"/>
  <c r="I506" i="8"/>
  <c r="I504" i="8"/>
  <c r="I499" i="8"/>
  <c r="I498" i="8"/>
  <c r="I496" i="8"/>
  <c r="I494" i="8"/>
  <c r="I492" i="8"/>
  <c r="I487" i="8"/>
  <c r="I486" i="8"/>
  <c r="I480" i="8"/>
  <c r="I479" i="8"/>
  <c r="I477" i="8"/>
  <c r="I474" i="8"/>
  <c r="I473" i="8"/>
  <c r="I471" i="8"/>
  <c r="I470" i="8"/>
  <c r="I466" i="8"/>
  <c r="I464" i="8"/>
  <c r="I463" i="8"/>
  <c r="I460" i="8"/>
  <c r="I453" i="8"/>
  <c r="I450" i="8"/>
  <c r="I449" i="8"/>
  <c r="I448" i="8"/>
  <c r="I447" i="8"/>
  <c r="I446" i="8"/>
  <c r="I445" i="8"/>
  <c r="I444" i="8"/>
  <c r="I443" i="8"/>
  <c r="I442" i="8"/>
  <c r="I441" i="8"/>
  <c r="I440" i="8"/>
  <c r="I437" i="8"/>
  <c r="I436" i="8"/>
  <c r="I435" i="8"/>
  <c r="I431" i="8"/>
  <c r="I428" i="8"/>
  <c r="I424" i="8"/>
  <c r="I422" i="8"/>
  <c r="I416" i="8"/>
  <c r="I410" i="8"/>
  <c r="I408" i="8"/>
  <c r="I405" i="8"/>
  <c r="I404" i="8"/>
  <c r="I402" i="8"/>
  <c r="I401" i="8"/>
  <c r="I392" i="8"/>
  <c r="I389" i="8"/>
  <c r="I386" i="8"/>
  <c r="I385" i="8"/>
  <c r="I384" i="8"/>
  <c r="I383" i="8"/>
  <c r="I379" i="8"/>
  <c r="I377" i="8"/>
  <c r="I375" i="8"/>
  <c r="I372" i="8"/>
  <c r="I363" i="8"/>
  <c r="I360" i="8"/>
  <c r="I359" i="8"/>
  <c r="I358" i="8"/>
  <c r="I357" i="8"/>
  <c r="I356" i="8"/>
  <c r="I355" i="8"/>
  <c r="I351" i="8"/>
  <c r="I349" i="8"/>
  <c r="I348" i="8"/>
  <c r="I344" i="8"/>
  <c r="I340" i="8"/>
  <c r="I336" i="8"/>
  <c r="I334" i="8"/>
  <c r="I333" i="8"/>
  <c r="I330" i="8"/>
  <c r="I323" i="8"/>
  <c r="I320" i="8"/>
  <c r="I317" i="8"/>
  <c r="I316" i="8"/>
  <c r="I315" i="8"/>
  <c r="I314" i="8"/>
  <c r="I310" i="8"/>
  <c r="I307" i="8"/>
  <c r="I303" i="8"/>
  <c r="I301" i="8"/>
  <c r="I296" i="8"/>
  <c r="I294" i="8"/>
  <c r="I292" i="8"/>
  <c r="I290" i="8"/>
  <c r="I286" i="8"/>
  <c r="I282" i="8"/>
  <c r="I280" i="8"/>
  <c r="I277" i="8"/>
  <c r="I276" i="8"/>
  <c r="I274" i="8"/>
  <c r="I273" i="8"/>
  <c r="I269" i="8"/>
  <c r="I267" i="8"/>
  <c r="I264" i="8"/>
  <c r="I251" i="8"/>
  <c r="I248" i="8"/>
  <c r="I247" i="8"/>
  <c r="I246" i="8"/>
  <c r="I245" i="8"/>
  <c r="I244" i="8"/>
  <c r="I243" i="8"/>
  <c r="I242" i="8"/>
  <c r="I239" i="8"/>
  <c r="I238" i="8"/>
  <c r="I237" i="8"/>
  <c r="I236" i="8"/>
  <c r="I235" i="8"/>
  <c r="I231" i="8"/>
  <c r="I229" i="8"/>
  <c r="I223" i="8"/>
  <c r="I220" i="8"/>
  <c r="I218" i="8"/>
  <c r="I217" i="8"/>
  <c r="I216" i="8"/>
  <c r="I215" i="8"/>
  <c r="I203" i="8"/>
  <c r="I201" i="8"/>
  <c r="I200" i="8"/>
  <c r="I199" i="8"/>
  <c r="I198" i="8"/>
  <c r="I197" i="8"/>
  <c r="I196" i="8"/>
  <c r="I195" i="8"/>
  <c r="I194" i="8"/>
  <c r="I193" i="8"/>
  <c r="I192" i="8"/>
  <c r="I191" i="8"/>
  <c r="I188" i="8"/>
  <c r="I187" i="8"/>
  <c r="I186" i="8"/>
  <c r="I185" i="8"/>
  <c r="I184" i="8"/>
  <c r="I183" i="8"/>
  <c r="I182" i="8"/>
  <c r="I181" i="8"/>
  <c r="I180" i="8"/>
  <c r="I179" i="8"/>
  <c r="I178" i="8"/>
  <c r="I177" i="8"/>
  <c r="I176" i="8"/>
  <c r="I175" i="8"/>
  <c r="I174" i="8"/>
  <c r="I173" i="8"/>
  <c r="I172" i="8"/>
  <c r="I170" i="8"/>
  <c r="I169" i="8"/>
  <c r="I168" i="8"/>
  <c r="I167" i="8"/>
  <c r="I164" i="8"/>
  <c r="I161" i="8"/>
  <c r="I160" i="8"/>
  <c r="I159" i="8"/>
  <c r="I158" i="8"/>
  <c r="I157" i="8"/>
  <c r="I156" i="8"/>
  <c r="I155" i="8"/>
  <c r="I154" i="8"/>
  <c r="I153" i="8"/>
  <c r="I152" i="8"/>
  <c r="I151" i="8"/>
  <c r="I150" i="8"/>
  <c r="I149" i="8"/>
  <c r="I148" i="8"/>
  <c r="I147" i="8"/>
  <c r="I146" i="8"/>
  <c r="I145" i="8"/>
  <c r="I142" i="8"/>
  <c r="I141" i="8"/>
  <c r="I138" i="8"/>
  <c r="I134" i="8"/>
  <c r="I133" i="8"/>
  <c r="I130" i="8"/>
  <c r="I129" i="8"/>
  <c r="I125" i="8"/>
  <c r="I124" i="8"/>
  <c r="I122" i="8"/>
  <c r="I121" i="8"/>
  <c r="I115" i="8"/>
  <c r="I114" i="8"/>
  <c r="I113" i="8"/>
  <c r="I112" i="8"/>
  <c r="I111" i="8"/>
  <c r="I108" i="8"/>
  <c r="I106" i="8"/>
  <c r="I102" i="8"/>
  <c r="I98" i="8"/>
  <c r="I97" i="8"/>
  <c r="I94" i="8"/>
  <c r="I88" i="8"/>
  <c r="I83" i="8"/>
  <c r="I79" i="8"/>
  <c r="I72" i="8"/>
  <c r="I70" i="8"/>
  <c r="I69" i="8"/>
  <c r="I68" i="8"/>
  <c r="I67" i="8"/>
  <c r="I66" i="8"/>
  <c r="I63" i="8"/>
  <c r="I57" i="8"/>
  <c r="I55" i="8"/>
  <c r="I54" i="8"/>
  <c r="I53" i="8"/>
  <c r="I52" i="8"/>
  <c r="I51" i="8"/>
  <c r="I49" i="8"/>
  <c r="I47" i="8"/>
  <c r="I46" i="8"/>
  <c r="I44" i="8"/>
  <c r="I43" i="8"/>
  <c r="I39" i="8"/>
  <c r="I37" i="8"/>
  <c r="I34" i="8"/>
  <c r="I33" i="8"/>
  <c r="I32" i="8"/>
  <c r="I31" i="8"/>
  <c r="I29" i="8"/>
  <c r="I28" i="8"/>
  <c r="I27" i="8"/>
  <c r="I26" i="8"/>
  <c r="I22" i="8"/>
  <c r="I20" i="8"/>
  <c r="I19" i="8"/>
  <c r="I17" i="8"/>
  <c r="I16" i="8"/>
  <c r="I12" i="8"/>
  <c r="I11" i="8"/>
  <c r="K208" i="3"/>
  <c r="K252" i="3" s="1"/>
  <c r="K3" i="3" s="1"/>
  <c r="L265" i="9" l="1"/>
  <c r="L261" i="9" s="1"/>
  <c r="L104" i="9"/>
  <c r="L103" i="9" s="1"/>
  <c r="L346" i="9"/>
  <c r="L345" i="9" s="1"/>
  <c r="M751" i="9"/>
  <c r="M748" i="9" s="1"/>
  <c r="M766" i="9"/>
  <c r="M760" i="9" s="1"/>
  <c r="M771" i="9" s="1"/>
  <c r="L373" i="9"/>
  <c r="L368" i="9" s="1"/>
  <c r="L367" i="9" s="1"/>
  <c r="L366" i="9" s="1"/>
  <c r="L589" i="9"/>
  <c r="L588" i="9" s="1"/>
  <c r="L661" i="9"/>
  <c r="L227" i="9"/>
  <c r="L226" i="9" s="1"/>
  <c r="L225" i="9" s="1"/>
  <c r="L224" i="9" s="1"/>
  <c r="L420" i="9"/>
  <c r="L709" i="9"/>
  <c r="L708" i="9" s="1"/>
  <c r="L707" i="9" s="1"/>
  <c r="L706" i="9" s="1"/>
  <c r="L705" i="9" s="1"/>
  <c r="L704" i="9" s="1"/>
  <c r="L703" i="9" s="1"/>
  <c r="K278" i="9"/>
  <c r="L299" i="9"/>
  <c r="L298" i="9" s="1"/>
  <c r="L297" i="9" s="1"/>
  <c r="M690" i="9"/>
  <c r="M689" i="9" s="1"/>
  <c r="M709" i="9"/>
  <c r="M708" i="9" s="1"/>
  <c r="M707" i="9" s="1"/>
  <c r="L748" i="9"/>
  <c r="L733" i="9" s="1"/>
  <c r="L755" i="9" s="1"/>
  <c r="L127" i="9"/>
  <c r="L126" i="9" s="1"/>
  <c r="L278" i="9"/>
  <c r="L14" i="9"/>
  <c r="L13" i="9" s="1"/>
  <c r="L8" i="9" s="1"/>
  <c r="M140" i="9"/>
  <c r="M139" i="9" s="1"/>
  <c r="L570" i="9"/>
  <c r="L560" i="9" s="1"/>
  <c r="L582" i="9" s="1"/>
  <c r="M808" i="9"/>
  <c r="M807" i="9" s="1"/>
  <c r="M806" i="9" s="1"/>
  <c r="M805" i="9" s="1"/>
  <c r="M804" i="9" s="1"/>
  <c r="L501" i="9"/>
  <c r="L500" i="9" s="1"/>
  <c r="L489" i="9" s="1"/>
  <c r="L488" i="9" s="1"/>
  <c r="M42" i="9"/>
  <c r="M41" i="9" s="1"/>
  <c r="M40" i="9" s="1"/>
  <c r="L119" i="9"/>
  <c r="L331" i="9"/>
  <c r="L327" i="9" s="1"/>
  <c r="M685" i="9"/>
  <c r="M684" i="9" s="1"/>
  <c r="K709" i="9"/>
  <c r="K708" i="9" s="1"/>
  <c r="K707" i="9" s="1"/>
  <c r="K706" i="9" s="1"/>
  <c r="K705" i="9" s="1"/>
  <c r="K704" i="9" s="1"/>
  <c r="K703" i="9" s="1"/>
  <c r="K702" i="9" s="1"/>
  <c r="K728" i="9" s="1"/>
  <c r="M716" i="9"/>
  <c r="M715" i="9" s="1"/>
  <c r="M714" i="9" s="1"/>
  <c r="M332" i="9"/>
  <c r="M331" i="9" s="1"/>
  <c r="M327" i="9" s="1"/>
  <c r="M485" i="9"/>
  <c r="M484" i="9" s="1"/>
  <c r="M481" i="9" s="1"/>
  <c r="L91" i="9"/>
  <c r="L90" i="9" s="1"/>
  <c r="L89" i="9" s="1"/>
  <c r="L74" i="9" s="1"/>
  <c r="L73" i="9" s="1"/>
  <c r="L514" i="9"/>
  <c r="K661" i="9"/>
  <c r="K645" i="9" s="1"/>
  <c r="K670" i="9" s="1"/>
  <c r="K803" i="9"/>
  <c r="K823" i="9" s="1"/>
  <c r="M128" i="9"/>
  <c r="M127" i="9" s="1"/>
  <c r="M126" i="9" s="1"/>
  <c r="M354" i="9"/>
  <c r="M353" i="9" s="1"/>
  <c r="L165" i="9"/>
  <c r="L135" i="9" s="1"/>
  <c r="L288" i="9"/>
  <c r="L399" i="9"/>
  <c r="L398" i="9" s="1"/>
  <c r="L397" i="9" s="1"/>
  <c r="L396" i="9" s="1"/>
  <c r="M434" i="9"/>
  <c r="M433" i="9" s="1"/>
  <c r="M693" i="9"/>
  <c r="K766" i="9"/>
  <c r="K760" i="9" s="1"/>
  <c r="K771" i="9" s="1"/>
  <c r="M234" i="9"/>
  <c r="M233" i="9" s="1"/>
  <c r="M232" i="9" s="1"/>
  <c r="M241" i="9"/>
  <c r="M240" i="9" s="1"/>
  <c r="L789" i="9"/>
  <c r="L776" i="9" s="1"/>
  <c r="L798" i="9" s="1"/>
  <c r="M144" i="9"/>
  <c r="M143" i="9" s="1"/>
  <c r="M132" i="9"/>
  <c r="M131" i="9" s="1"/>
  <c r="M166" i="9"/>
  <c r="L311" i="9"/>
  <c r="L475" i="9"/>
  <c r="L461" i="9" s="1"/>
  <c r="L457" i="9" s="1"/>
  <c r="L481" i="9"/>
  <c r="L719" i="9"/>
  <c r="K748" i="9"/>
  <c r="L766" i="9"/>
  <c r="L760" i="9" s="1"/>
  <c r="L771" i="9" s="1"/>
  <c r="L645" i="9"/>
  <c r="L683" i="9"/>
  <c r="L675" i="9" s="1"/>
  <c r="L697" i="9" s="1"/>
  <c r="M721" i="9"/>
  <c r="M720" i="9" s="1"/>
  <c r="M719" i="9" s="1"/>
  <c r="K735" i="9"/>
  <c r="K734" i="9" s="1"/>
  <c r="M789" i="9"/>
  <c r="M776" i="9" s="1"/>
  <c r="M798" i="9" s="1"/>
  <c r="M45" i="9"/>
  <c r="M214" i="9"/>
  <c r="M275" i="9"/>
  <c r="M478" i="9"/>
  <c r="K683" i="9"/>
  <c r="K675" i="9" s="1"/>
  <c r="K697" i="9" s="1"/>
  <c r="M814" i="9"/>
  <c r="M813" i="9" s="1"/>
  <c r="M812" i="9" s="1"/>
  <c r="M811" i="9" s="1"/>
  <c r="M803" i="9" s="1"/>
  <c r="M823" i="9" s="1"/>
  <c r="M18" i="9"/>
  <c r="M382" i="9"/>
  <c r="M381" i="9" s="1"/>
  <c r="L99" i="9"/>
  <c r="L211" i="9"/>
  <c r="L64" i="9"/>
  <c r="L305" i="9"/>
  <c r="L304" i="9" s="1"/>
  <c r="L432" i="9"/>
  <c r="M737" i="9"/>
  <c r="M736" i="9" s="1"/>
  <c r="M735" i="9" s="1"/>
  <c r="M734" i="9" s="1"/>
  <c r="K789" i="9"/>
  <c r="M661" i="9"/>
  <c r="K654" i="9"/>
  <c r="K653" i="9" s="1"/>
  <c r="K652" i="9" s="1"/>
  <c r="K651" i="9" s="1"/>
  <c r="M654" i="9"/>
  <c r="M653" i="9" s="1"/>
  <c r="M652" i="9" s="1"/>
  <c r="M651" i="9" s="1"/>
  <c r="M635" i="9"/>
  <c r="M634" i="9" s="1"/>
  <c r="M632" i="9"/>
  <c r="M631" i="9" s="1"/>
  <c r="M630" i="9" s="1"/>
  <c r="K610" i="9"/>
  <c r="M623" i="9"/>
  <c r="M622" i="9" s="1"/>
  <c r="M612" i="9"/>
  <c r="M611" i="9" s="1"/>
  <c r="M598" i="9"/>
  <c r="M595" i="9"/>
  <c r="K590" i="9"/>
  <c r="K589" i="9" s="1"/>
  <c r="K588" i="9" s="1"/>
  <c r="K587" i="9" s="1"/>
  <c r="M592" i="9"/>
  <c r="M591" i="9" s="1"/>
  <c r="M590" i="9" s="1"/>
  <c r="K542" i="9"/>
  <c r="K556" i="9" s="1"/>
  <c r="M529" i="9"/>
  <c r="M528" i="9" s="1"/>
  <c r="M527" i="9"/>
  <c r="M526" i="9" s="1"/>
  <c r="M521" i="9" s="1"/>
  <c r="M520" i="9" s="1"/>
  <c r="K524" i="9"/>
  <c r="K521" i="9" s="1"/>
  <c r="K520" i="9" s="1"/>
  <c r="K514" i="9" s="1"/>
  <c r="M516" i="9"/>
  <c r="M515" i="9" s="1"/>
  <c r="M513" i="9"/>
  <c r="M512" i="9" s="1"/>
  <c r="M511" i="9" s="1"/>
  <c r="M508" i="9" s="1"/>
  <c r="M507" i="9" s="1"/>
  <c r="K502" i="9"/>
  <c r="M504" i="9"/>
  <c r="M503" i="9" s="1"/>
  <c r="M502" i="9" s="1"/>
  <c r="M497" i="9"/>
  <c r="K493" i="9"/>
  <c r="K490" i="9" s="1"/>
  <c r="M492" i="9"/>
  <c r="M491" i="9" s="1"/>
  <c r="K485" i="9"/>
  <c r="K484" i="9" s="1"/>
  <c r="K481" i="9" s="1"/>
  <c r="M475" i="9"/>
  <c r="K478" i="9"/>
  <c r="K475" i="9"/>
  <c r="K472" i="9"/>
  <c r="K468" i="9" s="1"/>
  <c r="K467" i="9" s="1"/>
  <c r="M472" i="9"/>
  <c r="M468" i="9" s="1"/>
  <c r="M467" i="9" s="1"/>
  <c r="M462" i="9"/>
  <c r="M441" i="9"/>
  <c r="M439" i="9" s="1"/>
  <c r="M438" i="9" s="1"/>
  <c r="M426" i="9"/>
  <c r="M425" i="9" s="1"/>
  <c r="K426" i="9"/>
  <c r="K425" i="9" s="1"/>
  <c r="K423" i="9"/>
  <c r="K420" i="9" s="1"/>
  <c r="M420" i="9"/>
  <c r="M406" i="9"/>
  <c r="K407" i="9"/>
  <c r="K406" i="9" s="1"/>
  <c r="M403" i="9"/>
  <c r="M401" i="9"/>
  <c r="M400" i="9" s="1"/>
  <c r="M399" i="9" s="1"/>
  <c r="M398" i="9" s="1"/>
  <c r="K399" i="9"/>
  <c r="K398" i="9" s="1"/>
  <c r="M380" i="9"/>
  <c r="K380" i="9"/>
  <c r="K378" i="9"/>
  <c r="K376" i="9"/>
  <c r="M373" i="9"/>
  <c r="K371" i="9"/>
  <c r="K370" i="9" s="1"/>
  <c r="K369" i="9" s="1"/>
  <c r="M363" i="9"/>
  <c r="M362" i="9" s="1"/>
  <c r="M361" i="9" s="1"/>
  <c r="M347" i="9"/>
  <c r="M346" i="9" s="1"/>
  <c r="M345" i="9" s="1"/>
  <c r="M337" i="9" s="1"/>
  <c r="K347" i="9"/>
  <c r="K346" i="9" s="1"/>
  <c r="K345" i="9" s="1"/>
  <c r="K337" i="9" s="1"/>
  <c r="K326" i="9" s="1"/>
  <c r="K339" i="9"/>
  <c r="K338" i="9" s="1"/>
  <c r="K327" i="9"/>
  <c r="M311" i="9"/>
  <c r="K311" i="9"/>
  <c r="M316" i="9"/>
  <c r="M313" i="9" s="1"/>
  <c r="M305" i="9"/>
  <c r="M304" i="9" s="1"/>
  <c r="K306" i="9"/>
  <c r="K305" i="9" s="1"/>
  <c r="K304" i="9" s="1"/>
  <c r="K298" i="9" s="1"/>
  <c r="K297" i="9" s="1"/>
  <c r="M299" i="9"/>
  <c r="M294" i="9"/>
  <c r="M293" i="9" s="1"/>
  <c r="M288" i="9" s="1"/>
  <c r="K288" i="9"/>
  <c r="M278" i="9"/>
  <c r="K275" i="9"/>
  <c r="K271" i="9" s="1"/>
  <c r="K270" i="9" s="1"/>
  <c r="M273" i="9"/>
  <c r="M272" i="9" s="1"/>
  <c r="K268" i="9"/>
  <c r="K232" i="9"/>
  <c r="M231" i="9"/>
  <c r="M230" i="9" s="1"/>
  <c r="M227" i="9" s="1"/>
  <c r="M226" i="9" s="1"/>
  <c r="M225" i="9" s="1"/>
  <c r="M224" i="9" s="1"/>
  <c r="K227" i="9"/>
  <c r="K226" i="9" s="1"/>
  <c r="K225" i="9" s="1"/>
  <c r="K224" i="9" s="1"/>
  <c r="K222" i="9"/>
  <c r="K221" i="9" s="1"/>
  <c r="M220" i="9"/>
  <c r="M219" i="9" s="1"/>
  <c r="K214" i="9"/>
  <c r="K213" i="9" s="1"/>
  <c r="K212" i="9" s="1"/>
  <c r="M190" i="9"/>
  <c r="M189" i="9" s="1"/>
  <c r="M173" i="9"/>
  <c r="M171" i="9" s="1"/>
  <c r="K165" i="9"/>
  <c r="M164" i="9"/>
  <c r="M163" i="9" s="1"/>
  <c r="M162" i="9" s="1"/>
  <c r="K144" i="9"/>
  <c r="K143" i="9" s="1"/>
  <c r="K127" i="9"/>
  <c r="K126" i="9" s="1"/>
  <c r="M120" i="9"/>
  <c r="M119" i="9" s="1"/>
  <c r="K119" i="9"/>
  <c r="M110" i="9"/>
  <c r="M109" i="9" s="1"/>
  <c r="K104" i="9"/>
  <c r="K103" i="9" s="1"/>
  <c r="K99" i="9" s="1"/>
  <c r="M104" i="9"/>
  <c r="M103" i="9" s="1"/>
  <c r="M96" i="9"/>
  <c r="M95" i="9" s="1"/>
  <c r="M91" i="9" s="1"/>
  <c r="M90" i="9" s="1"/>
  <c r="M89" i="9" s="1"/>
  <c r="M74" i="9" s="1"/>
  <c r="M73" i="9" s="1"/>
  <c r="M65" i="9"/>
  <c r="M64" i="9" s="1"/>
  <c r="K65" i="9"/>
  <c r="K64" i="9" s="1"/>
  <c r="M35" i="9"/>
  <c r="K36" i="9"/>
  <c r="K35" i="9" s="1"/>
  <c r="K30" i="9"/>
  <c r="K24" i="9" s="1"/>
  <c r="K23" i="9" s="1"/>
  <c r="M30" i="9"/>
  <c r="M16" i="9"/>
  <c r="M15" i="9" s="1"/>
  <c r="K10" i="9"/>
  <c r="K9" i="9" s="1"/>
  <c r="M11" i="9"/>
  <c r="M10" i="9" s="1"/>
  <c r="M9" i="9" s="1"/>
  <c r="K18" i="9"/>
  <c r="K14" i="9"/>
  <c r="K91" i="9"/>
  <c r="K90" i="9" s="1"/>
  <c r="K89" i="9" s="1"/>
  <c r="K74" i="9" s="1"/>
  <c r="K73" i="9" s="1"/>
  <c r="K508" i="9"/>
  <c r="K507" i="9" s="1"/>
  <c r="L670" i="9"/>
  <c r="K776" i="9"/>
  <c r="K798" i="9" s="1"/>
  <c r="M645" i="9"/>
  <c r="L118" i="9"/>
  <c r="L117" i="9" s="1"/>
  <c r="L116" i="9" s="1"/>
  <c r="L426" i="9"/>
  <c r="L425" i="9" s="1"/>
  <c r="M573" i="9"/>
  <c r="M572" i="9" s="1"/>
  <c r="M571" i="9" s="1"/>
  <c r="M570" i="9" s="1"/>
  <c r="M560" i="9" s="1"/>
  <c r="M582" i="9" s="1"/>
  <c r="K572" i="9"/>
  <c r="K571" i="9" s="1"/>
  <c r="K570" i="9" s="1"/>
  <c r="K560" i="9" s="1"/>
  <c r="K582" i="9" s="1"/>
  <c r="K352" i="9"/>
  <c r="M368" i="9"/>
  <c r="M367" i="9" s="1"/>
  <c r="M366" i="9" s="1"/>
  <c r="M25" i="9"/>
  <c r="M50" i="9"/>
  <c r="L232" i="9"/>
  <c r="L337" i="9"/>
  <c r="L380" i="9"/>
  <c r="M542" i="9"/>
  <c r="M556" i="9" s="1"/>
  <c r="L210" i="9"/>
  <c r="L209" i="9" s="1"/>
  <c r="L208" i="9" s="1"/>
  <c r="L252" i="9" s="1"/>
  <c r="L419" i="9"/>
  <c r="L418" i="9" s="1"/>
  <c r="L417" i="9" s="1"/>
  <c r="L411" i="9" s="1"/>
  <c r="K432" i="9"/>
  <c r="L587" i="9"/>
  <c r="L610" i="9"/>
  <c r="M683" i="9"/>
  <c r="M675" i="9" s="1"/>
  <c r="M697" i="9" s="1"/>
  <c r="M573" i="8"/>
  <c r="M572" i="8" s="1"/>
  <c r="M571" i="8" s="1"/>
  <c r="M570" i="8" s="1"/>
  <c r="M560" i="8" s="1"/>
  <c r="M582" i="8" s="1"/>
  <c r="M332" i="8"/>
  <c r="M516" i="8"/>
  <c r="M515" i="8" s="1"/>
  <c r="M751" i="8"/>
  <c r="M623" i="8"/>
  <c r="M622" i="8" s="1"/>
  <c r="M635" i="8"/>
  <c r="M634" i="8" s="1"/>
  <c r="M354" i="8"/>
  <c r="M353" i="8" s="1"/>
  <c r="M400" i="8"/>
  <c r="M399" i="8" s="1"/>
  <c r="M398" i="8" s="1"/>
  <c r="M439" i="8"/>
  <c r="M438" i="8" s="1"/>
  <c r="M432" i="8" s="1"/>
  <c r="M472" i="8"/>
  <c r="M654" i="8"/>
  <c r="M653" i="8" s="1"/>
  <c r="M652" i="8" s="1"/>
  <c r="M651" i="8" s="1"/>
  <c r="M680" i="8"/>
  <c r="M679" i="8" s="1"/>
  <c r="M678" i="8" s="1"/>
  <c r="M677" i="8" s="1"/>
  <c r="M676" i="8" s="1"/>
  <c r="M595" i="8"/>
  <c r="M612" i="8"/>
  <c r="M611" i="8" s="1"/>
  <c r="M631" i="8"/>
  <c r="M630" i="8" s="1"/>
  <c r="M737" i="8"/>
  <c r="M736" i="8" s="1"/>
  <c r="M735" i="8" s="1"/>
  <c r="M734" i="8" s="1"/>
  <c r="M313" i="8"/>
  <c r="M382" i="8"/>
  <c r="M381" i="8" s="1"/>
  <c r="M478" i="8"/>
  <c r="M685" i="8"/>
  <c r="M684" i="8" s="1"/>
  <c r="M347" i="8"/>
  <c r="M434" i="8"/>
  <c r="M433" i="8" s="1"/>
  <c r="M529" i="8"/>
  <c r="M528" i="8" s="1"/>
  <c r="M780" i="8"/>
  <c r="M779" i="8" s="1"/>
  <c r="M778" i="8" s="1"/>
  <c r="M777" i="8" s="1"/>
  <c r="M808" i="8"/>
  <c r="M807" i="8" s="1"/>
  <c r="M806" i="8" s="1"/>
  <c r="M805" i="8" s="1"/>
  <c r="M804" i="8" s="1"/>
  <c r="M803" i="8" s="1"/>
  <c r="M823" i="8" s="1"/>
  <c r="M469" i="8"/>
  <c r="M485" i="8"/>
  <c r="M484" i="8" s="1"/>
  <c r="M481" i="8" s="1"/>
  <c r="M693" i="8"/>
  <c r="M724" i="8"/>
  <c r="M814" i="8"/>
  <c r="M813" i="8" s="1"/>
  <c r="M812" i="8" s="1"/>
  <c r="M811" i="8" s="1"/>
  <c r="K103" i="8"/>
  <c r="K99" i="8" s="1"/>
  <c r="M190" i="8"/>
  <c r="M189" i="8" s="1"/>
  <c r="M241" i="8"/>
  <c r="M240" i="8" s="1"/>
  <c r="M132" i="8"/>
  <c r="M131" i="8" s="1"/>
  <c r="M166" i="8"/>
  <c r="M42" i="8"/>
  <c r="M41" i="8" s="1"/>
  <c r="M40" i="8" s="1"/>
  <c r="M45" i="8"/>
  <c r="M120" i="8"/>
  <c r="M140" i="8"/>
  <c r="M139" i="8" s="1"/>
  <c r="M426" i="8"/>
  <c r="M425" i="8" s="1"/>
  <c r="M766" i="8"/>
  <c r="M760" i="8" s="1"/>
  <c r="M771" i="8" s="1"/>
  <c r="M30" i="8"/>
  <c r="M50" i="8"/>
  <c r="M128" i="8"/>
  <c r="M110" i="8"/>
  <c r="M109" i="8" s="1"/>
  <c r="M99" i="8" s="1"/>
  <c r="M234" i="8"/>
  <c r="M233" i="8" s="1"/>
  <c r="M272" i="8"/>
  <c r="M271" i="8" s="1"/>
  <c r="M270" i="8" s="1"/>
  <c r="M265" i="8" s="1"/>
  <c r="M373" i="8"/>
  <c r="M368" i="8" s="1"/>
  <c r="M367" i="8" s="1"/>
  <c r="M366" i="8" s="1"/>
  <c r="M15" i="8"/>
  <c r="M25" i="8"/>
  <c r="M24" i="8" s="1"/>
  <c r="M23" i="8" s="1"/>
  <c r="M214" i="8"/>
  <c r="M213" i="8" s="1"/>
  <c r="M212" i="8" s="1"/>
  <c r="M211" i="8" s="1"/>
  <c r="M275" i="8"/>
  <c r="M171" i="8"/>
  <c r="M709" i="8"/>
  <c r="M708" i="8" s="1"/>
  <c r="M707" i="8" s="1"/>
  <c r="M706" i="8" s="1"/>
  <c r="M705" i="8" s="1"/>
  <c r="M704" i="8" s="1"/>
  <c r="M703" i="8" s="1"/>
  <c r="M18" i="8"/>
  <c r="M14" i="8" s="1"/>
  <c r="M123" i="8"/>
  <c r="M144" i="8"/>
  <c r="M143" i="8" s="1"/>
  <c r="M278" i="8"/>
  <c r="M96" i="8"/>
  <c r="M95" i="8" s="1"/>
  <c r="M65" i="8"/>
  <c r="M64" i="8" s="1"/>
  <c r="M10" i="8"/>
  <c r="M9" i="8" s="1"/>
  <c r="M346" i="8"/>
  <c r="M345" i="8" s="1"/>
  <c r="M337" i="8" s="1"/>
  <c r="M311" i="8"/>
  <c r="M590" i="8"/>
  <c r="M789" i="8"/>
  <c r="K719" i="8"/>
  <c r="M331" i="8"/>
  <c r="M327" i="8" s="1"/>
  <c r="M490" i="8"/>
  <c r="L789" i="8"/>
  <c r="L776" i="8" s="1"/>
  <c r="L798" i="8" s="1"/>
  <c r="M719" i="8"/>
  <c r="M406" i="8"/>
  <c r="M468" i="8"/>
  <c r="M467" i="8" s="1"/>
  <c r="M299" i="8"/>
  <c r="M91" i="8"/>
  <c r="M90" i="8" s="1"/>
  <c r="M89" i="8" s="1"/>
  <c r="M74" i="8" s="1"/>
  <c r="M73" i="8" s="1"/>
  <c r="M305" i="8"/>
  <c r="M304" i="8" s="1"/>
  <c r="M420" i="8"/>
  <c r="M502" i="8"/>
  <c r="K748" i="8"/>
  <c r="M227" i="8"/>
  <c r="M226" i="8" s="1"/>
  <c r="M225" i="8" s="1"/>
  <c r="M224" i="8" s="1"/>
  <c r="L803" i="8"/>
  <c r="L823" i="8" s="1"/>
  <c r="M521" i="8"/>
  <c r="M520" i="8" s="1"/>
  <c r="M514" i="8" s="1"/>
  <c r="M288" i="8"/>
  <c r="M508" i="8"/>
  <c r="M507" i="8" s="1"/>
  <c r="M748" i="8"/>
  <c r="M352" i="8"/>
  <c r="M35" i="8"/>
  <c r="M475" i="8"/>
  <c r="M661" i="8"/>
  <c r="M645" i="8" s="1"/>
  <c r="M542" i="8"/>
  <c r="M556" i="8" s="1"/>
  <c r="M380" i="8"/>
  <c r="L661" i="8"/>
  <c r="L645" i="8" s="1"/>
  <c r="L670" i="8" s="1"/>
  <c r="L709" i="8"/>
  <c r="L708" i="8" s="1"/>
  <c r="L707" i="8" s="1"/>
  <c r="L706" i="8" s="1"/>
  <c r="L705" i="8" s="1"/>
  <c r="L704" i="8" s="1"/>
  <c r="L703" i="8" s="1"/>
  <c r="K803" i="8"/>
  <c r="K823" i="8" s="1"/>
  <c r="L735" i="8"/>
  <c r="L734" i="8" s="1"/>
  <c r="L719" i="8"/>
  <c r="L766" i="8"/>
  <c r="L760" i="8" s="1"/>
  <c r="L771" i="8" s="1"/>
  <c r="K789" i="8"/>
  <c r="K776" i="8" s="1"/>
  <c r="K798" i="8" s="1"/>
  <c r="L683" i="8"/>
  <c r="L675" i="8" s="1"/>
  <c r="L697" i="8" s="1"/>
  <c r="L748" i="8"/>
  <c r="K766" i="8"/>
  <c r="K760" i="8" s="1"/>
  <c r="K771" i="8" s="1"/>
  <c r="K735" i="8"/>
  <c r="K734" i="8" s="1"/>
  <c r="K709" i="8"/>
  <c r="K708" i="8" s="1"/>
  <c r="K707" i="8" s="1"/>
  <c r="K706" i="8" s="1"/>
  <c r="K705" i="8" s="1"/>
  <c r="K704" i="8" s="1"/>
  <c r="K689" i="8"/>
  <c r="K683" i="8" s="1"/>
  <c r="K675" i="8" s="1"/>
  <c r="K697" i="8" s="1"/>
  <c r="K661" i="8"/>
  <c r="K645" i="8" s="1"/>
  <c r="K670" i="8" s="1"/>
  <c r="L119" i="8"/>
  <c r="K64" i="8"/>
  <c r="L64" i="8"/>
  <c r="K119" i="8"/>
  <c r="L127" i="8"/>
  <c r="L126" i="8" s="1"/>
  <c r="L542" i="8"/>
  <c r="L556" i="8" s="1"/>
  <c r="K542" i="8"/>
  <c r="K556" i="8" s="1"/>
  <c r="L227" i="8"/>
  <c r="L226" i="8" s="1"/>
  <c r="L225" i="8" s="1"/>
  <c r="L224" i="8" s="1"/>
  <c r="K127" i="8"/>
  <c r="K126" i="8" s="1"/>
  <c r="K311" i="8"/>
  <c r="K481" i="8"/>
  <c r="K502" i="8"/>
  <c r="L420" i="8"/>
  <c r="L590" i="8"/>
  <c r="L589" i="8" s="1"/>
  <c r="L588" i="8" s="1"/>
  <c r="L587" i="8" s="1"/>
  <c r="K420" i="8"/>
  <c r="K399" i="8"/>
  <c r="K398" i="8" s="1"/>
  <c r="K406" i="8"/>
  <c r="L331" i="8"/>
  <c r="L327" i="8" s="1"/>
  <c r="L346" i="8"/>
  <c r="L345" i="8" s="1"/>
  <c r="L337" i="8" s="1"/>
  <c r="L399" i="8"/>
  <c r="L398" i="8" s="1"/>
  <c r="K35" i="8"/>
  <c r="K475" i="8"/>
  <c r="L426" i="8"/>
  <c r="L425" i="8" s="1"/>
  <c r="L288" i="8"/>
  <c r="K346" i="8"/>
  <c r="K345" i="8" s="1"/>
  <c r="K337" i="8" s="1"/>
  <c r="L475" i="8"/>
  <c r="L502" i="8"/>
  <c r="K521" i="8"/>
  <c r="K520" i="8" s="1"/>
  <c r="K514" i="8" s="1"/>
  <c r="K165" i="8"/>
  <c r="K135" i="8" s="1"/>
  <c r="K227" i="8"/>
  <c r="K226" i="8" s="1"/>
  <c r="K225" i="8" s="1"/>
  <c r="K224" i="8" s="1"/>
  <c r="K426" i="8"/>
  <c r="K425" i="8" s="1"/>
  <c r="K288" i="8"/>
  <c r="L213" i="8"/>
  <c r="L212" i="8" s="1"/>
  <c r="L211" i="8" s="1"/>
  <c r="L232" i="8"/>
  <c r="L299" i="8"/>
  <c r="L311" i="8"/>
  <c r="K508" i="8"/>
  <c r="K507" i="8" s="1"/>
  <c r="K570" i="8"/>
  <c r="K560" i="8" s="1"/>
  <c r="K582" i="8" s="1"/>
  <c r="K91" i="8"/>
  <c r="K90" i="8" s="1"/>
  <c r="K89" i="8" s="1"/>
  <c r="K74" i="8" s="1"/>
  <c r="K73" i="8" s="1"/>
  <c r="K271" i="8"/>
  <c r="K270" i="8" s="1"/>
  <c r="L406" i="8"/>
  <c r="K14" i="8"/>
  <c r="L305" i="8"/>
  <c r="L304" i="8" s="1"/>
  <c r="L481" i="8"/>
  <c r="K490" i="8"/>
  <c r="L165" i="8"/>
  <c r="L135" i="8" s="1"/>
  <c r="K331" i="8"/>
  <c r="K327" i="8" s="1"/>
  <c r="K352" i="8"/>
  <c r="K278" i="8"/>
  <c r="L91" i="8"/>
  <c r="L90" i="8" s="1"/>
  <c r="L89" i="8" s="1"/>
  <c r="L74" i="8" s="1"/>
  <c r="L73" i="8" s="1"/>
  <c r="L352" i="8"/>
  <c r="K213" i="8"/>
  <c r="K212" i="8" s="1"/>
  <c r="K211" i="8" s="1"/>
  <c r="L278" i="8"/>
  <c r="L373" i="8"/>
  <c r="L368" i="8" s="1"/>
  <c r="L367" i="8" s="1"/>
  <c r="L366" i="8" s="1"/>
  <c r="L490" i="8"/>
  <c r="L508" i="8"/>
  <c r="L507" i="8" s="1"/>
  <c r="L521" i="8"/>
  <c r="L520" i="8" s="1"/>
  <c r="L514" i="8" s="1"/>
  <c r="K24" i="8"/>
  <c r="K23" i="8" s="1"/>
  <c r="L468" i="8"/>
  <c r="L467" i="8" s="1"/>
  <c r="L271" i="8"/>
  <c r="L270" i="8" s="1"/>
  <c r="K590" i="8"/>
  <c r="K589" i="8" s="1"/>
  <c r="K588" i="8" s="1"/>
  <c r="K587" i="8" s="1"/>
  <c r="L570" i="8"/>
  <c r="L560" i="8" s="1"/>
  <c r="L582" i="8" s="1"/>
  <c r="L35" i="8"/>
  <c r="L24" i="8"/>
  <c r="L23" i="8" s="1"/>
  <c r="L14" i="8"/>
  <c r="L432" i="8"/>
  <c r="L610" i="8"/>
  <c r="L380" i="8"/>
  <c r="K610" i="8"/>
  <c r="K468" i="8"/>
  <c r="K467" i="8" s="1"/>
  <c r="K380" i="8"/>
  <c r="K373" i="8"/>
  <c r="K368" i="8" s="1"/>
  <c r="K367" i="8" s="1"/>
  <c r="K366" i="8" s="1"/>
  <c r="K305" i="8"/>
  <c r="K304" i="8" s="1"/>
  <c r="K299" i="8"/>
  <c r="M733" i="9" l="1"/>
  <c r="M755" i="9" s="1"/>
  <c r="M24" i="9"/>
  <c r="M23" i="9" s="1"/>
  <c r="K135" i="9"/>
  <c r="L326" i="9"/>
  <c r="L325" i="9" s="1"/>
  <c r="L324" i="9" s="1"/>
  <c r="M99" i="9"/>
  <c r="M271" i="9"/>
  <c r="M270" i="9" s="1"/>
  <c r="M265" i="9" s="1"/>
  <c r="M261" i="9" s="1"/>
  <c r="M213" i="9"/>
  <c r="M212" i="9" s="1"/>
  <c r="M211" i="9" s="1"/>
  <c r="K733" i="9"/>
  <c r="K755" i="9" s="1"/>
  <c r="L365" i="9"/>
  <c r="L364" i="9" s="1"/>
  <c r="L538" i="9" s="1"/>
  <c r="M432" i="9"/>
  <c r="L395" i="9"/>
  <c r="L394" i="9" s="1"/>
  <c r="L393" i="9" s="1"/>
  <c r="K211" i="9"/>
  <c r="K210" i="9" s="1"/>
  <c r="K209" i="9" s="1"/>
  <c r="K265" i="9"/>
  <c r="K261" i="9" s="1"/>
  <c r="L702" i="9"/>
  <c r="L728" i="9" s="1"/>
  <c r="K501" i="9"/>
  <c r="K500" i="9" s="1"/>
  <c r="M589" i="9"/>
  <c r="M588" i="9" s="1"/>
  <c r="M587" i="9" s="1"/>
  <c r="L456" i="9"/>
  <c r="L455" i="9" s="1"/>
  <c r="L454" i="9" s="1"/>
  <c r="L287" i="9"/>
  <c r="L283" i="9" s="1"/>
  <c r="L260" i="9" s="1"/>
  <c r="L259" i="9" s="1"/>
  <c r="L258" i="9" s="1"/>
  <c r="L257" i="9" s="1"/>
  <c r="M352" i="9"/>
  <c r="L59" i="9"/>
  <c r="L7" i="9" s="1"/>
  <c r="L6" i="9" s="1"/>
  <c r="L204" i="9" s="1"/>
  <c r="M14" i="9"/>
  <c r="M13" i="9" s="1"/>
  <c r="M8" i="9" s="1"/>
  <c r="M419" i="9"/>
  <c r="M418" i="9" s="1"/>
  <c r="M417" i="9" s="1"/>
  <c r="M411" i="9" s="1"/>
  <c r="M706" i="9"/>
  <c r="M705" i="9" s="1"/>
  <c r="M704" i="9" s="1"/>
  <c r="M703" i="9" s="1"/>
  <c r="M702" i="9" s="1"/>
  <c r="M728" i="9" s="1"/>
  <c r="M165" i="9"/>
  <c r="M135" i="9" s="1"/>
  <c r="M298" i="9"/>
  <c r="M297" i="9" s="1"/>
  <c r="K586" i="9"/>
  <c r="K639" i="9" s="1"/>
  <c r="M610" i="9"/>
  <c r="M586" i="9" s="1"/>
  <c r="M639" i="9" s="1"/>
  <c r="M514" i="9"/>
  <c r="M501" i="9"/>
  <c r="M500" i="9" s="1"/>
  <c r="M490" i="9"/>
  <c r="M489" i="9" s="1"/>
  <c r="M488" i="9" s="1"/>
  <c r="K489" i="9"/>
  <c r="K488" i="9" s="1"/>
  <c r="K461" i="9"/>
  <c r="K457" i="9" s="1"/>
  <c r="M461" i="9"/>
  <c r="M457" i="9" s="1"/>
  <c r="K419" i="9"/>
  <c r="K418" i="9" s="1"/>
  <c r="K417" i="9" s="1"/>
  <c r="K411" i="9" s="1"/>
  <c r="M397" i="9"/>
  <c r="M396" i="9" s="1"/>
  <c r="M395" i="9" s="1"/>
  <c r="M394" i="9" s="1"/>
  <c r="M393" i="9" s="1"/>
  <c r="K397" i="9"/>
  <c r="K396" i="9" s="1"/>
  <c r="M365" i="9"/>
  <c r="M364" i="9" s="1"/>
  <c r="K373" i="9"/>
  <c r="K368" i="9" s="1"/>
  <c r="K367" i="9" s="1"/>
  <c r="K366" i="9" s="1"/>
  <c r="K365" i="9" s="1"/>
  <c r="K364" i="9" s="1"/>
  <c r="K325" i="9"/>
  <c r="K324" i="9" s="1"/>
  <c r="M326" i="9"/>
  <c r="K287" i="9"/>
  <c r="K283" i="9" s="1"/>
  <c r="M287" i="9"/>
  <c r="M283" i="9" s="1"/>
  <c r="K208" i="9"/>
  <c r="K252" i="9" s="1"/>
  <c r="M210" i="9"/>
  <c r="M209" i="9" s="1"/>
  <c r="M208" i="9" s="1"/>
  <c r="M252" i="9" s="1"/>
  <c r="K118" i="9"/>
  <c r="K117" i="9" s="1"/>
  <c r="K116" i="9" s="1"/>
  <c r="K59" i="9" s="1"/>
  <c r="M118" i="9"/>
  <c r="M117" i="9" s="1"/>
  <c r="M116" i="9" s="1"/>
  <c r="M59" i="9" s="1"/>
  <c r="K13" i="9"/>
  <c r="K8" i="9" s="1"/>
  <c r="M670" i="9"/>
  <c r="L586" i="9"/>
  <c r="L639" i="9" s="1"/>
  <c r="K641" i="9"/>
  <c r="M610" i="8"/>
  <c r="M683" i="8"/>
  <c r="M675" i="8" s="1"/>
  <c r="M697" i="8" s="1"/>
  <c r="M776" i="8"/>
  <c r="M798" i="8" s="1"/>
  <c r="K733" i="8"/>
  <c r="K755" i="8" s="1"/>
  <c r="M589" i="8"/>
  <c r="M588" i="8" s="1"/>
  <c r="M587" i="8" s="1"/>
  <c r="M127" i="8"/>
  <c r="M126" i="8" s="1"/>
  <c r="M119" i="8"/>
  <c r="M232" i="8"/>
  <c r="M702" i="8"/>
  <c r="M728" i="8" s="1"/>
  <c r="M165" i="8"/>
  <c r="M135" i="8" s="1"/>
  <c r="M419" i="8"/>
  <c r="M418" i="8" s="1"/>
  <c r="M417" i="8" s="1"/>
  <c r="M411" i="8" s="1"/>
  <c r="M586" i="8"/>
  <c r="M639" i="8" s="1"/>
  <c r="M298" i="8"/>
  <c r="M297" i="8" s="1"/>
  <c r="M287" i="8" s="1"/>
  <c r="M283" i="8" s="1"/>
  <c r="M261" i="8"/>
  <c r="M118" i="8"/>
  <c r="M117" i="8" s="1"/>
  <c r="M116" i="8" s="1"/>
  <c r="M59" i="8" s="1"/>
  <c r="M397" i="8"/>
  <c r="M396" i="8" s="1"/>
  <c r="M210" i="8"/>
  <c r="M209" i="8" s="1"/>
  <c r="M733" i="8"/>
  <c r="M755" i="8" s="1"/>
  <c r="L419" i="8"/>
  <c r="L418" i="8" s="1"/>
  <c r="L417" i="8" s="1"/>
  <c r="L411" i="8" s="1"/>
  <c r="M501" i="8"/>
  <c r="M500" i="8" s="1"/>
  <c r="M489" i="8" s="1"/>
  <c r="M488" i="8" s="1"/>
  <c r="M365" i="8"/>
  <c r="M364" i="8" s="1"/>
  <c r="M461" i="8"/>
  <c r="M457" i="8" s="1"/>
  <c r="M13" i="8"/>
  <c r="M8" i="8" s="1"/>
  <c r="M326" i="8"/>
  <c r="M325" i="8" s="1"/>
  <c r="M324" i="8" s="1"/>
  <c r="L702" i="8"/>
  <c r="L728" i="8" s="1"/>
  <c r="M670" i="8"/>
  <c r="L733" i="8"/>
  <c r="L755" i="8" s="1"/>
  <c r="L118" i="8"/>
  <c r="L117" i="8" s="1"/>
  <c r="L116" i="8" s="1"/>
  <c r="L59" i="8" s="1"/>
  <c r="K118" i="8"/>
  <c r="K117" i="8" s="1"/>
  <c r="K116" i="8" s="1"/>
  <c r="K59" i="8" s="1"/>
  <c r="L210" i="8"/>
  <c r="L209" i="8" s="1"/>
  <c r="L208" i="8" s="1"/>
  <c r="L252" i="8" s="1"/>
  <c r="K419" i="8"/>
  <c r="K418" i="8" s="1"/>
  <c r="K417" i="8" s="1"/>
  <c r="K411" i="8" s="1"/>
  <c r="L501" i="8"/>
  <c r="L500" i="8" s="1"/>
  <c r="L489" i="8" s="1"/>
  <c r="L488" i="8" s="1"/>
  <c r="K586" i="8"/>
  <c r="K639" i="8" s="1"/>
  <c r="L397" i="8"/>
  <c r="L396" i="8" s="1"/>
  <c r="K501" i="8"/>
  <c r="K500" i="8" s="1"/>
  <c r="K489" i="8" s="1"/>
  <c r="K488" i="8" s="1"/>
  <c r="K397" i="8"/>
  <c r="K396" i="8" s="1"/>
  <c r="L586" i="8"/>
  <c r="L639" i="8" s="1"/>
  <c r="K13" i="8"/>
  <c r="K8" i="8" s="1"/>
  <c r="K461" i="8"/>
  <c r="K457" i="8" s="1"/>
  <c r="K365" i="8"/>
  <c r="K364" i="8" s="1"/>
  <c r="K210" i="8"/>
  <c r="K209" i="8" s="1"/>
  <c r="K265" i="8"/>
  <c r="K261" i="8" s="1"/>
  <c r="L461" i="8"/>
  <c r="L457" i="8" s="1"/>
  <c r="L326" i="8"/>
  <c r="L325" i="8" s="1"/>
  <c r="L324" i="8" s="1"/>
  <c r="L298" i="8"/>
  <c r="L297" i="8" s="1"/>
  <c r="L287" i="8" s="1"/>
  <c r="L283" i="8" s="1"/>
  <c r="L265" i="8"/>
  <c r="L261" i="8" s="1"/>
  <c r="K326" i="8"/>
  <c r="K325" i="8" s="1"/>
  <c r="K324" i="8" s="1"/>
  <c r="L365" i="8"/>
  <c r="L364" i="8" s="1"/>
  <c r="L13" i="8"/>
  <c r="L8" i="8" s="1"/>
  <c r="K298" i="8"/>
  <c r="K297" i="8" s="1"/>
  <c r="K287" i="8" s="1"/>
  <c r="K283" i="8" s="1"/>
  <c r="K750" i="3"/>
  <c r="K749" i="3" s="1"/>
  <c r="K748" i="3" s="1"/>
  <c r="K747" i="3" s="1"/>
  <c r="K746" i="3" s="1"/>
  <c r="L641" i="9" l="1"/>
  <c r="L3" i="9"/>
  <c r="M641" i="9"/>
  <c r="K260" i="9"/>
  <c r="K259" i="9" s="1"/>
  <c r="K258" i="9" s="1"/>
  <c r="K257" i="9" s="1"/>
  <c r="L256" i="9"/>
  <c r="M325" i="9"/>
  <c r="M324" i="9" s="1"/>
  <c r="K456" i="9"/>
  <c r="K455" i="9" s="1"/>
  <c r="K454" i="9" s="1"/>
  <c r="M456" i="9"/>
  <c r="M455" i="9" s="1"/>
  <c r="M454" i="9" s="1"/>
  <c r="K395" i="9"/>
  <c r="K394" i="9" s="1"/>
  <c r="K393" i="9" s="1"/>
  <c r="M260" i="9"/>
  <c r="M259" i="9" s="1"/>
  <c r="M258" i="9" s="1"/>
  <c r="K7" i="9"/>
  <c r="K6" i="9" s="1"/>
  <c r="K204" i="9" s="1"/>
  <c r="M7" i="9"/>
  <c r="M6" i="9" s="1"/>
  <c r="M204" i="9" s="1"/>
  <c r="M208" i="8"/>
  <c r="M252" i="8" s="1"/>
  <c r="M395" i="8"/>
  <c r="M394" i="8" s="1"/>
  <c r="M393" i="8" s="1"/>
  <c r="L395" i="8"/>
  <c r="L394" i="8" s="1"/>
  <c r="L393" i="8" s="1"/>
  <c r="M641" i="8"/>
  <c r="M260" i="8"/>
  <c r="M259" i="8" s="1"/>
  <c r="M258" i="8" s="1"/>
  <c r="M257" i="8" s="1"/>
  <c r="M456" i="8"/>
  <c r="M455" i="8" s="1"/>
  <c r="M454" i="8" s="1"/>
  <c r="M7" i="8"/>
  <c r="M6" i="8" s="1"/>
  <c r="M204" i="8" s="1"/>
  <c r="M3" i="8" s="1"/>
  <c r="L641" i="8"/>
  <c r="K395" i="8"/>
  <c r="K7" i="8"/>
  <c r="K6" i="8" s="1"/>
  <c r="K204" i="8" s="1"/>
  <c r="L7" i="8"/>
  <c r="L6" i="8" s="1"/>
  <c r="L204" i="8" s="1"/>
  <c r="L3" i="8" s="1"/>
  <c r="K260" i="8"/>
  <c r="K259" i="8" s="1"/>
  <c r="K258" i="8" s="1"/>
  <c r="K257" i="8" s="1"/>
  <c r="K456" i="8"/>
  <c r="K455" i="8" s="1"/>
  <c r="K454" i="8" s="1"/>
  <c r="L456" i="8"/>
  <c r="L455" i="8" s="1"/>
  <c r="L454" i="8" s="1"/>
  <c r="L260" i="8"/>
  <c r="L259" i="8" s="1"/>
  <c r="L258" i="8" s="1"/>
  <c r="L257" i="8" s="1"/>
  <c r="K757" i="3"/>
  <c r="K641" i="3" s="1"/>
  <c r="L825" i="9" l="1"/>
  <c r="M257" i="9"/>
  <c r="M256" i="9" s="1"/>
  <c r="K538" i="9"/>
  <c r="K3" i="9" s="1"/>
  <c r="K825" i="9" s="1"/>
  <c r="K256" i="9"/>
  <c r="M538" i="9"/>
  <c r="M3" i="9" s="1"/>
  <c r="M825" i="9" s="1"/>
  <c r="L825" i="8"/>
  <c r="M825" i="8"/>
  <c r="M256" i="8"/>
  <c r="M538" i="8"/>
  <c r="L256" i="8"/>
  <c r="L538" i="8"/>
  <c r="K812" i="3"/>
  <c r="I602" i="3"/>
  <c r="I348" i="3" l="1"/>
  <c r="I67" i="3"/>
  <c r="I638" i="3"/>
  <c r="I637" i="3"/>
  <c r="I636" i="3"/>
  <c r="I629" i="3"/>
  <c r="I628" i="3"/>
  <c r="I627" i="3"/>
  <c r="I626" i="3"/>
  <c r="I625" i="3"/>
  <c r="I624" i="3"/>
  <c r="I621" i="3"/>
  <c r="I620" i="3"/>
  <c r="I619" i="3"/>
  <c r="I618" i="3"/>
  <c r="I617" i="3"/>
  <c r="I616" i="3"/>
  <c r="I615" i="3"/>
  <c r="I614" i="3"/>
  <c r="I613" i="3"/>
  <c r="I609" i="3"/>
  <c r="I603" i="3"/>
  <c r="I601" i="3"/>
  <c r="I600" i="3"/>
  <c r="I599" i="3"/>
  <c r="I598" i="3"/>
  <c r="I597" i="3"/>
  <c r="I596" i="3"/>
  <c r="I594" i="3"/>
  <c r="I592" i="3"/>
  <c r="I581" i="3"/>
  <c r="I578" i="3"/>
  <c r="I575" i="3"/>
  <c r="I573" i="3"/>
  <c r="I569" i="3"/>
  <c r="I555" i="3"/>
  <c r="I552" i="3"/>
  <c r="I548" i="3"/>
  <c r="I537" i="3"/>
  <c r="I536" i="3"/>
  <c r="I535" i="3"/>
  <c r="I534" i="3"/>
  <c r="I533" i="3"/>
  <c r="I532" i="3"/>
  <c r="I531" i="3"/>
  <c r="I530" i="3"/>
  <c r="I527" i="3"/>
  <c r="I525" i="3"/>
  <c r="I523" i="3"/>
  <c r="I519" i="3"/>
  <c r="I518" i="3"/>
  <c r="I517" i="3"/>
  <c r="I513" i="3"/>
  <c r="I510" i="3"/>
  <c r="I506" i="3"/>
  <c r="I504" i="3"/>
  <c r="I499" i="3"/>
  <c r="I498" i="3"/>
  <c r="I496" i="3"/>
  <c r="I494" i="3"/>
  <c r="I492" i="3"/>
  <c r="I487" i="3"/>
  <c r="I486" i="3"/>
  <c r="I480" i="3"/>
  <c r="I479" i="3"/>
  <c r="I477" i="3"/>
  <c r="I474" i="3"/>
  <c r="I473" i="3"/>
  <c r="I471" i="3"/>
  <c r="I470" i="3"/>
  <c r="I466" i="3"/>
  <c r="I464" i="3"/>
  <c r="I463" i="3"/>
  <c r="I460" i="3"/>
  <c r="I453" i="3"/>
  <c r="I450" i="3"/>
  <c r="I449" i="3"/>
  <c r="I448" i="3"/>
  <c r="I447" i="3"/>
  <c r="I446" i="3"/>
  <c r="I445" i="3"/>
  <c r="I444" i="3"/>
  <c r="I443" i="3"/>
  <c r="I442" i="3"/>
  <c r="I441" i="3"/>
  <c r="I440" i="3"/>
  <c r="I437" i="3"/>
  <c r="I436" i="3"/>
  <c r="I435" i="3"/>
  <c r="I431" i="3"/>
  <c r="I428" i="3"/>
  <c r="I424" i="3"/>
  <c r="I422" i="3"/>
  <c r="I416" i="3"/>
  <c r="I410" i="3"/>
  <c r="I408" i="3"/>
  <c r="I405" i="3"/>
  <c r="I404" i="3"/>
  <c r="I402" i="3"/>
  <c r="I401" i="3"/>
  <c r="I392" i="3"/>
  <c r="I389" i="3"/>
  <c r="I386" i="3"/>
  <c r="I385" i="3"/>
  <c r="I384" i="3"/>
  <c r="I383" i="3"/>
  <c r="I379" i="3"/>
  <c r="I377" i="3"/>
  <c r="I375" i="3"/>
  <c r="I372" i="3"/>
  <c r="I363" i="3"/>
  <c r="I360" i="3"/>
  <c r="I359" i="3"/>
  <c r="I358" i="3"/>
  <c r="I357" i="3"/>
  <c r="I356" i="3"/>
  <c r="I355" i="3"/>
  <c r="I351" i="3"/>
  <c r="I349" i="3"/>
  <c r="I344" i="3"/>
  <c r="I340" i="3"/>
  <c r="I336" i="3"/>
  <c r="I334" i="3"/>
  <c r="I333" i="3"/>
  <c r="I330" i="3"/>
  <c r="I323" i="3"/>
  <c r="I320" i="3"/>
  <c r="I317" i="3"/>
  <c r="I316" i="3"/>
  <c r="I315" i="3"/>
  <c r="I314" i="3"/>
  <c r="I310" i="3"/>
  <c r="I307" i="3"/>
  <c r="I303" i="3"/>
  <c r="I301" i="3"/>
  <c r="I296" i="3"/>
  <c r="I294" i="3"/>
  <c r="I292" i="3"/>
  <c r="I290" i="3"/>
  <c r="I286" i="3"/>
  <c r="I282" i="3"/>
  <c r="I280" i="3"/>
  <c r="I277" i="3"/>
  <c r="I276" i="3"/>
  <c r="I274" i="3"/>
  <c r="I273" i="3"/>
  <c r="I269" i="3"/>
  <c r="I267" i="3"/>
  <c r="I264" i="3"/>
  <c r="I251" i="3"/>
  <c r="I248" i="3"/>
  <c r="I247" i="3"/>
  <c r="I246" i="3"/>
  <c r="I245" i="3"/>
  <c r="I244" i="3"/>
  <c r="I243" i="3"/>
  <c r="I242" i="3"/>
  <c r="I239" i="3"/>
  <c r="I238" i="3"/>
  <c r="I237" i="3"/>
  <c r="I236" i="3"/>
  <c r="I235" i="3"/>
  <c r="I231" i="3"/>
  <c r="I229" i="3"/>
  <c r="I223" i="3"/>
  <c r="I220" i="3"/>
  <c r="I218" i="3"/>
  <c r="I217" i="3"/>
  <c r="I216" i="3"/>
  <c r="I215" i="3"/>
  <c r="I203" i="3"/>
  <c r="I201" i="3"/>
  <c r="I200" i="3"/>
  <c r="I199" i="3"/>
  <c r="I198" i="3"/>
  <c r="I197" i="3"/>
  <c r="I196" i="3"/>
  <c r="I195" i="3"/>
  <c r="I194" i="3"/>
  <c r="I193" i="3"/>
  <c r="I192" i="3"/>
  <c r="I191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0" i="3"/>
  <c r="I169" i="3"/>
  <c r="I168" i="3"/>
  <c r="I167" i="3"/>
  <c r="I164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2" i="3"/>
  <c r="I141" i="3"/>
  <c r="I138" i="3"/>
  <c r="I134" i="3"/>
  <c r="I133" i="3"/>
  <c r="I130" i="3"/>
  <c r="I129" i="3"/>
  <c r="I125" i="3"/>
  <c r="I124" i="3"/>
  <c r="I122" i="3"/>
  <c r="I121" i="3"/>
  <c r="I115" i="3"/>
  <c r="I114" i="3"/>
  <c r="I113" i="3"/>
  <c r="I112" i="3"/>
  <c r="I111" i="3"/>
  <c r="I108" i="3"/>
  <c r="I106" i="3"/>
  <c r="I102" i="3"/>
  <c r="I98" i="3"/>
  <c r="I97" i="3"/>
  <c r="I94" i="3"/>
  <c r="I88" i="3"/>
  <c r="I83" i="3"/>
  <c r="I79" i="3"/>
  <c r="I72" i="3"/>
  <c r="I70" i="3"/>
  <c r="I69" i="3"/>
  <c r="I68" i="3"/>
  <c r="I66" i="3"/>
  <c r="I63" i="3"/>
  <c r="I57" i="3"/>
  <c r="I55" i="3"/>
  <c r="I54" i="3"/>
  <c r="I53" i="3"/>
  <c r="I52" i="3"/>
  <c r="I51" i="3"/>
  <c r="I49" i="3"/>
  <c r="I47" i="3"/>
  <c r="I46" i="3"/>
  <c r="I44" i="3"/>
  <c r="I43" i="3"/>
  <c r="I39" i="3"/>
  <c r="I37" i="3"/>
  <c r="I34" i="3"/>
  <c r="I33" i="3"/>
  <c r="I32" i="3"/>
  <c r="I31" i="3"/>
  <c r="I29" i="3"/>
  <c r="I28" i="3"/>
  <c r="I27" i="3"/>
  <c r="I26" i="3"/>
  <c r="I22" i="3"/>
  <c r="I20" i="3"/>
  <c r="I19" i="3"/>
  <c r="I17" i="3"/>
  <c r="I16" i="3"/>
  <c r="I12" i="3"/>
  <c r="I11" i="3"/>
  <c r="K232" i="8" l="1"/>
  <c r="K208" i="8" s="1"/>
  <c r="K252" i="8" s="1"/>
  <c r="K432" i="8"/>
  <c r="K394" i="8" s="1"/>
  <c r="K393" i="8" s="1"/>
  <c r="K538" i="8" l="1"/>
  <c r="K3" i="8" s="1"/>
  <c r="K256" i="8"/>
  <c r="K703" i="8" l="1"/>
  <c r="K702" i="8" s="1"/>
  <c r="K641" i="8" l="1"/>
  <c r="K825" i="8" s="1"/>
  <c r="K728" i="8"/>
</calcChain>
</file>

<file path=xl/sharedStrings.xml><?xml version="1.0" encoding="utf-8"?>
<sst xmlns="http://schemas.openxmlformats.org/spreadsheetml/2006/main" count="11066" uniqueCount="1060">
  <si>
    <t>0301 - 1</t>
  </si>
  <si>
    <t>Ingresos</t>
  </si>
  <si>
    <t>0301 - 1.1</t>
  </si>
  <si>
    <t>Ingresos Corrientes</t>
  </si>
  <si>
    <t>0301 - 1.1.01</t>
  </si>
  <si>
    <t>Ingresos tributarios</t>
  </si>
  <si>
    <t>0301 - 1.1.01.01</t>
  </si>
  <si>
    <t>Impuestos directos</t>
  </si>
  <si>
    <t>0301 - 1.1.01.01.100</t>
  </si>
  <si>
    <t>Impuesto sobre vehículos automotores</t>
  </si>
  <si>
    <t>Funcionamiento</t>
  </si>
  <si>
    <t>0301 - 1.1.01.01.100.01 - 14</t>
  </si>
  <si>
    <t>0301 - 1.1.01.01.100.01 - 20</t>
  </si>
  <si>
    <t>0301 - 1.1.01.02</t>
  </si>
  <si>
    <t>Impuestos indirectos</t>
  </si>
  <si>
    <t>0301 - 1.1.01.02.100</t>
  </si>
  <si>
    <t>Impuesto de Registro</t>
  </si>
  <si>
    <t>0301 - 1.1.01.02.100.01</t>
  </si>
  <si>
    <t>Impuesto de Registro - Cámaras de Comercio</t>
  </si>
  <si>
    <t>0301 - 1.1.01.02.100.01.01 - 01</t>
  </si>
  <si>
    <t>0301 - 1.1.01.02.100.01.01 - 20</t>
  </si>
  <si>
    <t>0301 - 1.1.01.02.100.02</t>
  </si>
  <si>
    <t>Impuesto de Registro - Oficinas de Instrumentos Públicos</t>
  </si>
  <si>
    <t>0301 - 1.1.01.02.100.02.01 - 01</t>
  </si>
  <si>
    <t>0301 - 1.1.01.02.100.02.01 - 20</t>
  </si>
  <si>
    <t>0301 - 1.1.01.02.102</t>
  </si>
  <si>
    <t>Impuesto al degüello de ganado mayor</t>
  </si>
  <si>
    <t>0301 - 1.1.01.02.102.01 - 20</t>
  </si>
  <si>
    <t>0301 - 1.1.01.02.104</t>
  </si>
  <si>
    <t>Impuesto al consumo de licores, vinos, aperitivos y similares</t>
  </si>
  <si>
    <t>0301 - 1.1.01.02.104.02</t>
  </si>
  <si>
    <t>Impuesto al consumo de vinos, aperitivos y similares</t>
  </si>
  <si>
    <t>0301 - 1.1.01.02.104.02.01</t>
  </si>
  <si>
    <t>Impuesto al consumo de vinos, aperitivos y similares - Componente Específico</t>
  </si>
  <si>
    <t>0301 - 1.1.01.02.104.02.01.01 - 20</t>
  </si>
  <si>
    <t>Impuesto al consumo de vinos, aperitivos y similares - Componente Específico - Nacional</t>
  </si>
  <si>
    <t>0301 - 1.1.01.02.104.02.01.01 - 60</t>
  </si>
  <si>
    <t>0301 - 1.1.01.02.104.02.01.02 - 20</t>
  </si>
  <si>
    <t>Impuesto al consumo de vinos, aperitivos y similares - Componente Específico - Extranjero</t>
  </si>
  <si>
    <t>0301 - 1.1.01.02.104.02.01.02 - 60</t>
  </si>
  <si>
    <t>0301 - 1.1.01.02.104.02.02</t>
  </si>
  <si>
    <t>Impuesto al consumo de vinos, aperitivos y similares - Componente Ad Valorem</t>
  </si>
  <si>
    <t>0301 - 1.1.01.02.104.02.02.01 - 20</t>
  </si>
  <si>
    <t>Impuesto al consumo de vinos, aperitivos y similares - Componente Ad Valorem - Nacional</t>
  </si>
  <si>
    <t>0301 - 1.1.01.02.104.02.02.01 - 60</t>
  </si>
  <si>
    <t>0301 - 1.1.01.02.104.02.02.02 - 20</t>
  </si>
  <si>
    <t>Impuesto al consumo de vinos, aperitivos y similares - Componente Ad Valorem - Extranjero</t>
  </si>
  <si>
    <t>0301 - 1.1.01.02.104.02.02.02 - 60</t>
  </si>
  <si>
    <t>0301 - 1.1.01.02.105</t>
  </si>
  <si>
    <t>Impuesto al consumo de cervezas, sifones, refajos y mezclas</t>
  </si>
  <si>
    <t>0301 - 1.1.01.02.105.01</t>
  </si>
  <si>
    <t>Impuesto al consumo de cervezas, sifones, refajos y mezclas - Nacionales</t>
  </si>
  <si>
    <t>0301 - 1.1.01.02.105.01.01 - 20</t>
  </si>
  <si>
    <t>0301 - 1.1.01.02.105.02</t>
  </si>
  <si>
    <t>Impuesto al consumo de cervezas, sifones, refajos y mezclas - Extranjeras</t>
  </si>
  <si>
    <t>0301 - 1.1.01.02.105.02.02 - 20</t>
  </si>
  <si>
    <t>0301 - 1.1.01.02.106</t>
  </si>
  <si>
    <t>Impuesto al consumo de cigarrillos y tabaco</t>
  </si>
  <si>
    <t>0301 - 1.1.01.02.106.01</t>
  </si>
  <si>
    <t>Componente específico del impuesto al consumo de cigarrillos y tabaco</t>
  </si>
  <si>
    <t>0301 - 1.1.01.02.106.01.02</t>
  </si>
  <si>
    <t>Componente específico del impuesto al consumo de cigarrillos y tabaco - Extranjeros</t>
  </si>
  <si>
    <t>0301 - 1.1.01.02.106.01.02.02 - 20</t>
  </si>
  <si>
    <t>0301 - 1.1.01.02.106.01.02.02 - 58</t>
  </si>
  <si>
    <t>0301 - 1.1.01.02.109</t>
  </si>
  <si>
    <t>Sobretasa a la gasolina</t>
  </si>
  <si>
    <t>0301 - 1.1.01.02.109.01 - 20</t>
  </si>
  <si>
    <t>0301 - 1.1.01.02.109.01 - 52</t>
  </si>
  <si>
    <t>0301 - 1.1.01.02.218</t>
  </si>
  <si>
    <t>Tasa prodeporte y recreación</t>
  </si>
  <si>
    <t>0301 - 1.1.01.02.218.01 - 61</t>
  </si>
  <si>
    <t>0301 - 1.1.01.02.300</t>
  </si>
  <si>
    <t>Estampillas</t>
  </si>
  <si>
    <t>0301 - 1.1.01.02.300.01 - 08</t>
  </si>
  <si>
    <t>Estampilla para el bienestar del adulto mayor</t>
  </si>
  <si>
    <t>0301 - 1.1.01.02.300.02 - 04</t>
  </si>
  <si>
    <t>Estampilla pro desarrollo departamental</t>
  </si>
  <si>
    <t>0301 - 1.1.01.02.300.05 - 05</t>
  </si>
  <si>
    <t>Estampilla pro electrificación rural</t>
  </si>
  <si>
    <t>0301 - 1.1.01.02.300.18 - 45</t>
  </si>
  <si>
    <t>Estampilla Universidad de los Llanos</t>
  </si>
  <si>
    <t>0301 - 1.1.01.02.300.49 - 06A</t>
  </si>
  <si>
    <t>Estampilla de fomento turístico del Meta</t>
  </si>
  <si>
    <t>0301 - 1.1.01.02.300.55 - 12A</t>
  </si>
  <si>
    <t>Estampilla pro cultura</t>
  </si>
  <si>
    <t>0301 - 1.1.02</t>
  </si>
  <si>
    <t>Ingresos no tributarios</t>
  </si>
  <si>
    <t>0301 - 1.1.02.01</t>
  </si>
  <si>
    <t>Contribuciones</t>
  </si>
  <si>
    <t>0301 - 1.1.02.01.003</t>
  </si>
  <si>
    <t>Contribuciones especiales</t>
  </si>
  <si>
    <t>0301 - 1.1.02.01.003.01</t>
  </si>
  <si>
    <t>Cuota de fiscalización y auditaje</t>
  </si>
  <si>
    <t>0301 - 1.1.02.01.003.01.01 - 18</t>
  </si>
  <si>
    <t>0301 - 1.1.02.03</t>
  </si>
  <si>
    <t>Multas, sanciones e intereses de mora</t>
  </si>
  <si>
    <t>0301 - 1.1.02.03.001</t>
  </si>
  <si>
    <t>Multas y sanciones</t>
  </si>
  <si>
    <t>0301 - 1.1.02.03.001.03 - 20</t>
  </si>
  <si>
    <t>Sanciones disciplinarias</t>
  </si>
  <si>
    <t>0301 - 1.1.02.03.001.04 - 20</t>
  </si>
  <si>
    <t>Sanciones contractuales</t>
  </si>
  <si>
    <t>0301 - 1.1.02.03.001.05 - 20</t>
  </si>
  <si>
    <t>Sanciones administrativas</t>
  </si>
  <si>
    <t>0301 - 1.1.02.03.001.06 - 20</t>
  </si>
  <si>
    <t>Sanciones fiscales</t>
  </si>
  <si>
    <t>0301 - 1.1.02.03.001.11 - 20</t>
  </si>
  <si>
    <t>Sanciones tributarias</t>
  </si>
  <si>
    <t>0301 - 1.1.02.03.002</t>
  </si>
  <si>
    <t>Intereses de mora</t>
  </si>
  <si>
    <t>0301 - 1.1.02.03.002.01 - 20</t>
  </si>
  <si>
    <t>0301 - 1.1.02.05</t>
  </si>
  <si>
    <t>Venta de bienes y servicios</t>
  </si>
  <si>
    <t>0301 - 1.1.02.05.002</t>
  </si>
  <si>
    <t>Ventas incidentales de establecimientos no de mercado</t>
  </si>
  <si>
    <t>0301 - 1.1.02.05.002.00</t>
  </si>
  <si>
    <t>Agricultura, silvicultura y productos de la pesca</t>
  </si>
  <si>
    <t>0301 - 1.1.02.05.002.00.01</t>
  </si>
  <si>
    <t>Productos de la agricultura y la horticultura</t>
  </si>
  <si>
    <t>0301 - 1.1.02.05.002.00.01.04</t>
  </si>
  <si>
    <t>Semillas y frutos oleaginosos</t>
  </si>
  <si>
    <t>0301 - 1.1.02.05.002.00.01.04.09</t>
  </si>
  <si>
    <t>Otros frutos oleaginosos</t>
  </si>
  <si>
    <t>0301 - 1.1.02.05.002.00.01.04.09.01 - 13</t>
  </si>
  <si>
    <t>Nueces y almendras de palma</t>
  </si>
  <si>
    <t>0301 - 1.1.02.05.002.00.02</t>
  </si>
  <si>
    <t>Animales vivos y productos animales (excepto la carne)</t>
  </si>
  <si>
    <t>0301 - 1.1.02.05.002.00.02.01</t>
  </si>
  <si>
    <t>Animales vivos</t>
  </si>
  <si>
    <t>0301 - 1.1.02.05.002.00.02.01.01</t>
  </si>
  <si>
    <t>Bovinos vivos</t>
  </si>
  <si>
    <t>0301 - 1.1.02.05.002.00.02.01.01.01 - 13</t>
  </si>
  <si>
    <t>Ganado bovino-Productos Granja Iracá</t>
  </si>
  <si>
    <t>0301 - 1.1.02.05.002.08</t>
  </si>
  <si>
    <t>Servicios prestados a las empresas y servicios de producción</t>
  </si>
  <si>
    <t>0301 - 1.1.02.05.002.08.03</t>
  </si>
  <si>
    <t>Otros servicios profesionales, cientificos y técnicos</t>
  </si>
  <si>
    <t>0301 - 1.1.02.05.002.08.03.06</t>
  </si>
  <si>
    <t>Servicios de publicidad y el suministro de espacio o tiempo publicitarios</t>
  </si>
  <si>
    <t>0301 - 1.1.02.05.002.08.03.06.03</t>
  </si>
  <si>
    <t>Venta de espacio o tiempo publicitario (excepto a comisión)</t>
  </si>
  <si>
    <t>0301 - 1.1.02.05.002.08.03.06.03.01 - 20</t>
  </si>
  <si>
    <t>Venta de espacio publicitario en medios de información impresos - publicidad</t>
  </si>
  <si>
    <t>0301 - 1.1.02.05.002.09</t>
  </si>
  <si>
    <t>Servicios para la comunidad, sociales y personales</t>
  </si>
  <si>
    <t>0301 - 1.1.02.05.002.09.01</t>
  </si>
  <si>
    <t>Servicios de la administración pública y otros servicios prestados a la comunidad en general</t>
  </si>
  <si>
    <t>0301 - 1.1.02.05.002.09.01.01</t>
  </si>
  <si>
    <t>Servicios administrativos del gobierno</t>
  </si>
  <si>
    <t>0301 - 1.1.02.05.002.09.01.01.02</t>
  </si>
  <si>
    <t>Servicios de la administración pública relacionados con la prestación de servicios  educativos, de s</t>
  </si>
  <si>
    <t>0301 - 1.1.02.05.002.09.01.01.02.03</t>
  </si>
  <si>
    <t>Servicios de la administración pública relacionados con la vivienda e infraestructura de  servicios</t>
  </si>
  <si>
    <t>0301 - 1.1.02.05.002.09.01.01.02.03.01 - 152</t>
  </si>
  <si>
    <t>Los servicios de la administración pública realcionados con los programas de vivienda al público en</t>
  </si>
  <si>
    <t>0301 - 1.1.02.05.002.09.01.01.09</t>
  </si>
  <si>
    <t>Otros servicios administrativos del gobierno</t>
  </si>
  <si>
    <t>0301 - 1.1.02.05.002.09.01.01.09.09</t>
  </si>
  <si>
    <t>Otros servicios administrativos del gobierno n.c.p.</t>
  </si>
  <si>
    <t>0301 - 1.1.02.05.002.09.01.01.09.09.05 - 13</t>
  </si>
  <si>
    <t>Otros servicios administrativos del gobierno n.c.p. -  Carnet Ganadero</t>
  </si>
  <si>
    <t>0301 - 1.1.02.05.002.09.01.01.09.09.07 - 13</t>
  </si>
  <si>
    <t>Otros servicios administrativos del gobierno n.c.p. - Talonarios Guias de Deguello</t>
  </si>
  <si>
    <t>0301 - 1.1.02.06</t>
  </si>
  <si>
    <t>Transferencias corrientes</t>
  </si>
  <si>
    <t>0301 - 1.1.02.06.001</t>
  </si>
  <si>
    <t>Sistema General de Participaciones</t>
  </si>
  <si>
    <t>0301 - 1.1.02.06.001.05</t>
  </si>
  <si>
    <t>Agua potable y saneamiento básico</t>
  </si>
  <si>
    <t>0301 - 1.1.02.06.001.05.01 - 99A</t>
  </si>
  <si>
    <t>0301 - 1.1.02.06.003</t>
  </si>
  <si>
    <t>Participaciones distintas del SGP</t>
  </si>
  <si>
    <t>0301 - 1.1.02.06.003.01</t>
  </si>
  <si>
    <t>Participación en impuestos</t>
  </si>
  <si>
    <t>0301 - 1.1.02.06.003.01.10</t>
  </si>
  <si>
    <t>Participación de la sobretasa al ACPM</t>
  </si>
  <si>
    <t>0301 - 1.1.02.06.003.01.10.01 - 23</t>
  </si>
  <si>
    <t>0301 - 1.1.02.06.003.01.11</t>
  </si>
  <si>
    <t>Participación del impuesto nacional al consumo del servicio de telefonía móvil</t>
  </si>
  <si>
    <t>0301 - 1.1.02.06.003.01.11.01 - 24</t>
  </si>
  <si>
    <t>0301 - 1.1.02.06.006</t>
  </si>
  <si>
    <t>Transferencias de otras entidades del gobierno general</t>
  </si>
  <si>
    <t>0301 - 1.1.02.06.006.06</t>
  </si>
  <si>
    <t>Otras unidades de gobierno</t>
  </si>
  <si>
    <t>0301 - 1.1.02.06.006.06.01 - 0</t>
  </si>
  <si>
    <t>Otras unidades de gobierno - Federación Nacional de Departamentos</t>
  </si>
  <si>
    <t>0301 - 1.1.02.06.006.06.02 - 0P</t>
  </si>
  <si>
    <t>Otras unidades de gobierno - Ecopetrol</t>
  </si>
  <si>
    <t>0301 - 1.1.02.06.006.06.03 - 0C</t>
  </si>
  <si>
    <t>Otras unidades de gobierno - Cormacarena</t>
  </si>
  <si>
    <t>0301 - 1.1.02.06.006.06.04 - 0V</t>
  </si>
  <si>
    <t>Otras unidades de gobierno - Mun.V/cio Convenio 1435/23</t>
  </si>
  <si>
    <t>0301 - 1.1.02.06.006.06.05 - 0A</t>
  </si>
  <si>
    <t>Otras unidades de gobierno - Minagricultura Convenio 202106666</t>
  </si>
  <si>
    <t>0301 - 1.1.02.07</t>
  </si>
  <si>
    <t>Participación y derechos por monopolio</t>
  </si>
  <si>
    <t>0301 - 1.1.02.07.002</t>
  </si>
  <si>
    <t>Participación y derechos de explotación del ejercicio del monopolio de licores destilados y alcohole</t>
  </si>
  <si>
    <t>0301 - 1.1.02.07.002.01</t>
  </si>
  <si>
    <t>Participación y derechos de explotación del ejercicio del monopolio de licores destilados</t>
  </si>
  <si>
    <t>0301 - 1.1.02.07.002.01.02</t>
  </si>
  <si>
    <t>Derechos de monopolio por la introducción de licores destilados</t>
  </si>
  <si>
    <t>0301 - 1.1.02.07.002.01.02.01</t>
  </si>
  <si>
    <t>Derechos de monopolio por la introducción de licores destilados de producción nacional</t>
  </si>
  <si>
    <t>0301 - 1.1.02.07.002.01.02.01.01 - 20</t>
  </si>
  <si>
    <t>0301 - 1.1.02.07.002.01.02.01.01 - 60</t>
  </si>
  <si>
    <t>0301 - 1.1.02.07.002.01.02.02</t>
  </si>
  <si>
    <t>Derechos de monopolio por la introducción de licores destilados de producción extranjera</t>
  </si>
  <si>
    <t>0301 - 1.1.02.07.002.01.02.02.02 - 20</t>
  </si>
  <si>
    <t>0301 - 1.1.02.07.002.01.02.02.02 - 60</t>
  </si>
  <si>
    <t>0301 - 1.1.02.07.002.01.03</t>
  </si>
  <si>
    <t>Participación por el consumo de licores destilados</t>
  </si>
  <si>
    <t>0301 - 1.1.02.07.002.01.03.02</t>
  </si>
  <si>
    <t>Participación por el consumo de licores destilados introducidos</t>
  </si>
  <si>
    <t>0301 - 1.1.02.07.002.01.03.02.01</t>
  </si>
  <si>
    <t>Participación por el consumo de licores destilados introducidos de producción nacional</t>
  </si>
  <si>
    <t>0301 - 1.1.02.07.002.01.03.02.01.01 - 20</t>
  </si>
  <si>
    <t>0301 - 1.1.02.07.002.01.03.02.01.01 - 60</t>
  </si>
  <si>
    <t>0301 - 1.1.02.07.002.01.03.02.02</t>
  </si>
  <si>
    <t>Participación por el consumo de licores destilados introducidos de producción extranjera</t>
  </si>
  <si>
    <t>0301 - 1.1.02.07.002.01.03.02.02.01</t>
  </si>
  <si>
    <t>Participación por el consumo de licores destilados introducidos de producción extranjera recaudado p</t>
  </si>
  <si>
    <t>0301 - 1.1.02.07.002.01.03.02.02.01.02 - 20</t>
  </si>
  <si>
    <t>0301 - 1.1.02.07.002.01.03.02.02.01.02 - 60</t>
  </si>
  <si>
    <t>0301 - 1.2</t>
  </si>
  <si>
    <t>Recursos de capital</t>
  </si>
  <si>
    <t>0301 - 1.2.02</t>
  </si>
  <si>
    <t>Excedentes financieros</t>
  </si>
  <si>
    <t>0301 - 1.2.02.02 - 20</t>
  </si>
  <si>
    <t>Empresas industriales y comerciales del Estado no societarias</t>
  </si>
  <si>
    <t>0301 - 1.2.03</t>
  </si>
  <si>
    <t>Dividendos y utilidades por otras inversiones de capital</t>
  </si>
  <si>
    <t>0301 - 1.2.03.03</t>
  </si>
  <si>
    <t>Sociedades de economía mixta</t>
  </si>
  <si>
    <t>0301 - 1.2.03.03.001 - 20</t>
  </si>
  <si>
    <t>Sociedades de economía mixta - EMSA</t>
  </si>
  <si>
    <t>0301 - 1.2.03.03.002 - 20</t>
  </si>
  <si>
    <t>Sociedades de economía mixta - Empresa de Energia de Cundinamarca</t>
  </si>
  <si>
    <t>0301 - 1.2.05</t>
  </si>
  <si>
    <t>Rendimientos financieros</t>
  </si>
  <si>
    <t>0301 - 1.2.05.02</t>
  </si>
  <si>
    <t>Depósitos</t>
  </si>
  <si>
    <t>Depositos</t>
  </si>
  <si>
    <t>0301 - 1.2.05.02.001 - 04F</t>
  </si>
  <si>
    <t>0301 - 1.2.05.02.001 - 05F</t>
  </si>
  <si>
    <t>0301 - 1.2.05.02.001 - 08F</t>
  </si>
  <si>
    <t>0301 - 1.2.05.02.001 - 100I</t>
  </si>
  <si>
    <t>0301 - 1.2.05.02.001 - 125F</t>
  </si>
  <si>
    <t>0301 - 1.2.05.02.001 - 13F</t>
  </si>
  <si>
    <t>0301 - 1.2.05.02.001 - 152F</t>
  </si>
  <si>
    <t>0301 - 1.2.05.02.001 - 17F</t>
  </si>
  <si>
    <t>0301 - 1.2.05.02.001 - 18F</t>
  </si>
  <si>
    <t>0301 - 1.2.05.02.001 - 191F</t>
  </si>
  <si>
    <t>0301 - 1.2.05.02.001 - 193F</t>
  </si>
  <si>
    <t>0301 - 1.2.05.02.001 - 20F</t>
  </si>
  <si>
    <t>0301 - 1.2.05.02.001 - 23F</t>
  </si>
  <si>
    <t>0301 - 1.2.05.02.001 - 58F</t>
  </si>
  <si>
    <t>0301 - 1.2.05.02.001 - 60F</t>
  </si>
  <si>
    <t>0301 - 1.2.05.02.001 - 61F</t>
  </si>
  <si>
    <t>0301 - 1.2.05.02.001 - 99F</t>
  </si>
  <si>
    <t>0301 - 1.2.07</t>
  </si>
  <si>
    <t>Recursos de crédito interno</t>
  </si>
  <si>
    <t>0301 - 1.2.07.01</t>
  </si>
  <si>
    <t>Recursos de contratos de empréstitos internos</t>
  </si>
  <si>
    <t>0301 - 1.2.07.01.001 - 125</t>
  </si>
  <si>
    <t>Banca comercial</t>
  </si>
  <si>
    <t>0301 - 1.2.10</t>
  </si>
  <si>
    <t>Recursos del balance</t>
  </si>
  <si>
    <t>0301 - 1.2.10.01</t>
  </si>
  <si>
    <t>Cancelación reservas</t>
  </si>
  <si>
    <t>0301 - 1.2.10.02</t>
  </si>
  <si>
    <t>Superávit fiscal</t>
  </si>
  <si>
    <t>0301 - 1.2.13</t>
  </si>
  <si>
    <t>Reintegros y otros recursos no apropiados</t>
  </si>
  <si>
    <t>0301 - 1.2.13.01</t>
  </si>
  <si>
    <t>Reintegros</t>
  </si>
  <si>
    <t>0301 - 1.2.13.01.001 - 04</t>
  </si>
  <si>
    <t>0301 - 1.2.13.02</t>
  </si>
  <si>
    <t>Recursos no apropiados</t>
  </si>
  <si>
    <t>0301 - 1.2.13.02.001 - 20</t>
  </si>
  <si>
    <t>0302 - 1</t>
  </si>
  <si>
    <t>0302 - 1.1</t>
  </si>
  <si>
    <t>0302 - 1.1.02</t>
  </si>
  <si>
    <t>0302 - 1.1.02.06</t>
  </si>
  <si>
    <t>0302 - 1.1.02.06.001</t>
  </si>
  <si>
    <t>0302 - 1.1.02.06.001.01</t>
  </si>
  <si>
    <t>Participación para educación</t>
  </si>
  <si>
    <t>0302 - 1.1.02.06.001.01.01</t>
  </si>
  <si>
    <t>Prestación de servicio educativo</t>
  </si>
  <si>
    <t>No Tributarios</t>
  </si>
  <si>
    <t>0302 - 1.1.02.06.001.01.01.01 - 25</t>
  </si>
  <si>
    <t>0302 - 1.1.02.06.001.01.01.02 - 26</t>
  </si>
  <si>
    <t>Prestacion de servicio educativo - Aportes Patronales SSF</t>
  </si>
  <si>
    <t>0302 - 1.1.02.06.001.01.01.03 - 26</t>
  </si>
  <si>
    <t>Prestacion de servicio educativo - Aportes Docentes - SSF</t>
  </si>
  <si>
    <t>0302 - 1.1.02.06.001.01.01.04 - 25</t>
  </si>
  <si>
    <t>Prestacion de servicio educativo - Conectividad</t>
  </si>
  <si>
    <t>0302 - 1.1.02.06.001.01.02</t>
  </si>
  <si>
    <t>Cancelación de prestaciones sociales del magisterio</t>
  </si>
  <si>
    <t>0302 - 1.1.02.06.001.01.02.01 - 27</t>
  </si>
  <si>
    <t>0302 - 1.1.02.06.005</t>
  </si>
  <si>
    <t>A entidades territoriales distintas de participaciones y compensaciones</t>
  </si>
  <si>
    <t>0302 - 1.1.02.06.005.05</t>
  </si>
  <si>
    <t>Transferir a las entidades territoriales para apoyar la operación del programa de alimentación escol</t>
  </si>
  <si>
    <t>0302 - 1.1.02.06.005.05.01 - 96</t>
  </si>
  <si>
    <t>0302 - 1.1.02.07</t>
  </si>
  <si>
    <t>0302 - 1.1.02.07.002</t>
  </si>
  <si>
    <t>0302 - 1.1.02.07.002.01</t>
  </si>
  <si>
    <t>0302 - 1.1.02.07.002.01.02</t>
  </si>
  <si>
    <t>0302 - 1.1.02.07.002.01.02.01</t>
  </si>
  <si>
    <t>0302 - 1.1.02.07.002.01.02.01.01 - 153</t>
  </si>
  <si>
    <t>0302 - 1.1.02.07.002.01.02.02</t>
  </si>
  <si>
    <t>0302 - 1.1.02.07.002.01.02.02.02 - 153</t>
  </si>
  <si>
    <t>0302 - 1.2</t>
  </si>
  <si>
    <t>0302 - 1.2.05</t>
  </si>
  <si>
    <t>0302 - 1.2.05.02</t>
  </si>
  <si>
    <t>0302 - 1.2.05.02.001 - 153F</t>
  </si>
  <si>
    <t>0302 - 1.2.05.02.001 - 25F</t>
  </si>
  <si>
    <t>0302 - 1.2.05.02.001 - 27F</t>
  </si>
  <si>
    <t>0302 - 1.2.05.02.001 - 96F</t>
  </si>
  <si>
    <t>0302 - 1.2.05.02.001 - 98F</t>
  </si>
  <si>
    <t>0302 - 1.2.10</t>
  </si>
  <si>
    <t>0302 - 1.2.10.02</t>
  </si>
  <si>
    <t>0302 - 1.2.13</t>
  </si>
  <si>
    <t>0302 - 1.2.13.01</t>
  </si>
  <si>
    <t>0302 - 1.2.13.01.001 - 25</t>
  </si>
  <si>
    <t>03030101 - 1</t>
  </si>
  <si>
    <t>03030101 - 1.1</t>
  </si>
  <si>
    <t>03030101 - 1.1.01</t>
  </si>
  <si>
    <t>03030101 - 1.1.01.01</t>
  </si>
  <si>
    <t>03030101 - 1.1.01.01.101</t>
  </si>
  <si>
    <t>Impuesto a ganadores de sorteos ordinarios y extraordinarios</t>
  </si>
  <si>
    <t>03030101 - 1.1.01.01.101.01 - 71</t>
  </si>
  <si>
    <t>03030101 - 1.1.01.02</t>
  </si>
  <si>
    <t>03030101 - 1.1.01.02.101</t>
  </si>
  <si>
    <t>Impuesto de loterías foráneas</t>
  </si>
  <si>
    <t>03030101 - 1.1.01.02.101.01 - 72</t>
  </si>
  <si>
    <t>03030101 - 1.1.01.02.103</t>
  </si>
  <si>
    <t>IVA sobre licores, vinos, aperitivos y similares (régimen anterior)</t>
  </si>
  <si>
    <t>03030101 - 1.1.01.02.103.01 - 150</t>
  </si>
  <si>
    <t>03030101 - 1.1.01.02.104</t>
  </si>
  <si>
    <t>03030101 - 1.1.01.02.104.02</t>
  </si>
  <si>
    <t>03030101 - 1.1.01.02.104.02.01</t>
  </si>
  <si>
    <t>03030101 - 1.1.01.02.104.02.01.01 - 150</t>
  </si>
  <si>
    <t>03030101 - 1.1.01.02.104.02.01.02 - 150</t>
  </si>
  <si>
    <t>03030101 - 1.1.01.02.104.02.02</t>
  </si>
  <si>
    <t>03030101 - 1.1.01.02.104.02.02.01 - 150</t>
  </si>
  <si>
    <t>03030101 - 1.1.01.02.104.02.02.02 - 150</t>
  </si>
  <si>
    <t>03030101 - 1.1.01.02.105</t>
  </si>
  <si>
    <t>03030101 - 1.1.01.02.105.01</t>
  </si>
  <si>
    <t>03030101 - 1.1.01.02.105.01.01 - 29</t>
  </si>
  <si>
    <t>03030101 - 1.1.01.02.105.02</t>
  </si>
  <si>
    <t>03030101 - 1.1.01.02.105.02.02 - 29</t>
  </si>
  <si>
    <t>03030101 - 1.1.02</t>
  </si>
  <si>
    <t>03030101 - 1.1.02.02</t>
  </si>
  <si>
    <t>Tasas y derechos administrativos</t>
  </si>
  <si>
    <t>03030101 - 1.1.02.02.100</t>
  </si>
  <si>
    <t>Expedición de licencias de funcionamiento de equipos de rayos X</t>
  </si>
  <si>
    <t>03030101 - 1.1.02.02.100.01 - 34</t>
  </si>
  <si>
    <t>Expedicion de licencias de funcionamiento de equipos de rayos X</t>
  </si>
  <si>
    <t>03030101 - 1.1.02.07</t>
  </si>
  <si>
    <t>03030101 - 1.1.02.07.001</t>
  </si>
  <si>
    <t>Derechos por la explotación juegos de suerte y azar</t>
  </si>
  <si>
    <t>03030101 - 1.1.02.07.001.03</t>
  </si>
  <si>
    <t>Derechos por la explotación juegos de suerte y azar de lotería tradicional</t>
  </si>
  <si>
    <t>03030101 - 1.1.02.07.001.03.01 - 71</t>
  </si>
  <si>
    <t>03030101 - 1.1.02.07.001.04</t>
  </si>
  <si>
    <t>Derechos por la explotación juegos de suerte y azar de apuestas permanentes o chance</t>
  </si>
  <si>
    <t>03030101 - 1.1.02.07.001.04.01 - 70</t>
  </si>
  <si>
    <t>03030101 - 1.1.02.07.001.06</t>
  </si>
  <si>
    <t>Derechos por la explotación juegos de suerte y azar de juegos promocionales</t>
  </si>
  <si>
    <t>03030101 - 1.1.02.07.001.06.01 - 103</t>
  </si>
  <si>
    <t>03030101 - 1.1.02.07.001.09</t>
  </si>
  <si>
    <t>Derechos por la explotación juegos de suerte y azar de juegos novedosos</t>
  </si>
  <si>
    <t>03030101 - 1.1.02.07.001.09.01 - 89</t>
  </si>
  <si>
    <t>03030101 - 1.1.02.07.002</t>
  </si>
  <si>
    <t>03030101 - 1.1.02.07.002.01</t>
  </si>
  <si>
    <t>03030101 - 1.1.02.07.002.01.02</t>
  </si>
  <si>
    <t>03030101 - 1.1.02.07.002.01.02.01</t>
  </si>
  <si>
    <t>03030101 - 1.1.02.07.002.01.02.01.01 - 150</t>
  </si>
  <si>
    <t>03030101 - 1.1.02.07.002.01.02.02</t>
  </si>
  <si>
    <t>03030101 - 1.1.02.07.002.01.02.02.02 - 150</t>
  </si>
  <si>
    <t>03030101 - 1.1.02.07.002.01.03</t>
  </si>
  <si>
    <t>03030101 - 1.1.02.07.002.01.03.02</t>
  </si>
  <si>
    <t>03030101 - 1.1.02.07.002.01.03.02.01</t>
  </si>
  <si>
    <t>03030101 - 1.1.02.07.002.01.03.02.01.01 - 150</t>
  </si>
  <si>
    <t>03030101 - 1.1.02.07.002.01.03.02.02</t>
  </si>
  <si>
    <t>03030101 - 1.1.02.07.002.01.03.02.02.01</t>
  </si>
  <si>
    <t>03030101 - 1.1.02.07.002.01.03.02.02.01.02 - 150</t>
  </si>
  <si>
    <t>03030101 - 1.2</t>
  </si>
  <si>
    <t>03030101 - 1.2.05</t>
  </si>
  <si>
    <t>03030101 - 1.2.05.02</t>
  </si>
  <si>
    <t>03030101 - 1.2.05.02.001 - 150F</t>
  </si>
  <si>
    <t>03030101 - 1.2.05.02.001 - 29F</t>
  </si>
  <si>
    <t>03030101 - 1.2.05.02.001 - 70F</t>
  </si>
  <si>
    <t>03030101 - 1.2.05.02.001 - 71F</t>
  </si>
  <si>
    <t>03030101 - 1.2.10</t>
  </si>
  <si>
    <t>03030101 - 1.2.10.02</t>
  </si>
  <si>
    <t>03030101 - 1.2.10.02.001 - 34RB</t>
  </si>
  <si>
    <t>03030101 - 1.2.13</t>
  </si>
  <si>
    <t>03030101 - 1.2.13.01</t>
  </si>
  <si>
    <t>03030102 - 1</t>
  </si>
  <si>
    <t>03030102 - 1.1</t>
  </si>
  <si>
    <t>03030102 - 1.1.01</t>
  </si>
  <si>
    <t>03030102 - 1.1.01.01</t>
  </si>
  <si>
    <t>03030102 - 1.1.01.01.101</t>
  </si>
  <si>
    <t>03030102 - 1.1.01.01.101.01 - 71</t>
  </si>
  <si>
    <t>03030102 - 1.1.01.02</t>
  </si>
  <si>
    <t>03030102 - 1.1.01.02.101</t>
  </si>
  <si>
    <t>03030102 - 1.1.01.02.101.01 - 72</t>
  </si>
  <si>
    <t>03030102 - 1.1.01.02.101.01 - 72A</t>
  </si>
  <si>
    <t>03030102 - 1.1.01.02.300</t>
  </si>
  <si>
    <t>03030102 - 1.1.01.02.300.63 - 84</t>
  </si>
  <si>
    <t>03030102 - 1.1.02</t>
  </si>
  <si>
    <t>03030102 - 1.1.02.02</t>
  </si>
  <si>
    <t>03030102 - 1.1.02.02.101</t>
  </si>
  <si>
    <t>Autorización de manejo de medicamentos de control especial del Estado</t>
  </si>
  <si>
    <t>03030102 - 1.1.02.02.101.01 - 41</t>
  </si>
  <si>
    <t>03030102 - 1.1.02.06</t>
  </si>
  <si>
    <t>03030102 - 1.1.02.06.006</t>
  </si>
  <si>
    <t>03030102 - 1.1.02.06.006.01</t>
  </si>
  <si>
    <t>Aportes Nación</t>
  </si>
  <si>
    <t>03030102 - 1.1.02.06.006.01.02 - 106</t>
  </si>
  <si>
    <t>Aportes Nación  - Otros Recursos Nacionales Salud</t>
  </si>
  <si>
    <t>03030102 - 1.1.02.07</t>
  </si>
  <si>
    <t>03030102 - 1.1.02.07.001</t>
  </si>
  <si>
    <t>03030102 - 1.1.02.07.001.03</t>
  </si>
  <si>
    <t>03030102 - 1.1.02.07.001.03.01 - 103</t>
  </si>
  <si>
    <t>03030102 - 1.1.02.07.001.03.01 - 71</t>
  </si>
  <si>
    <t>03030102 - 1.1.02.07.001.04</t>
  </si>
  <si>
    <t>03030102 - 1.1.02.07.001.04.01 - 70A</t>
  </si>
  <si>
    <t>03030102 - 1.2</t>
  </si>
  <si>
    <t>03030102 - 1.2.05</t>
  </si>
  <si>
    <t>03030102 - 1.2.05.02</t>
  </si>
  <si>
    <t>03030102 - 1.2.10</t>
  </si>
  <si>
    <t>03030102 - 1.2.10.02</t>
  </si>
  <si>
    <t>030302 - 1</t>
  </si>
  <si>
    <t>030302 - 1.1</t>
  </si>
  <si>
    <t>030302 - 1.1.02</t>
  </si>
  <si>
    <t>030302 - 1.1.02.06</t>
  </si>
  <si>
    <t>030302 - 1.1.02.06.001</t>
  </si>
  <si>
    <t>030302 - 1.1.02.06.001.02</t>
  </si>
  <si>
    <t>Participación para salud</t>
  </si>
  <si>
    <t>030302 - 1.1.02.06.001.02.02</t>
  </si>
  <si>
    <t>Salud pública</t>
  </si>
  <si>
    <t>030302 - 1.1.02.06.001.02.02.01 - 32</t>
  </si>
  <si>
    <t>030302 - 1.1.02.06.005</t>
  </si>
  <si>
    <t>030302 - 1.1.02.06.005.04</t>
  </si>
  <si>
    <t>Aportes a programas de prevención y control de enfermedades transmitidas por vectores</t>
  </si>
  <si>
    <t>030302 - 1.1.02.06.005.04.01 - 33</t>
  </si>
  <si>
    <t>030302 - 1.1.02.06.005.11</t>
  </si>
  <si>
    <t>Campaña y control antituberculosis</t>
  </si>
  <si>
    <t>030302 - 1.1.02.06.005.11.01 - 35</t>
  </si>
  <si>
    <t>030302 - 1.1.02.06.005.12</t>
  </si>
  <si>
    <t>Campañas control Lepra</t>
  </si>
  <si>
    <t>030302 - 1.1.02.06.005.12.01 - 36</t>
  </si>
  <si>
    <t>030302 - 1.2</t>
  </si>
  <si>
    <t>030302 - 1.2.05</t>
  </si>
  <si>
    <t>030302 - 1.2.05.02</t>
  </si>
  <si>
    <t>030302 - 1.2.05.02.001 - 32F</t>
  </si>
  <si>
    <t>030302 - 1.2.05.02.001 - 33F</t>
  </si>
  <si>
    <t>030302 - 1.2.05.02.001 - 35F</t>
  </si>
  <si>
    <t>030302 - 1.2.05.02.001 - 36F</t>
  </si>
  <si>
    <t>030302 - 1.2.10</t>
  </si>
  <si>
    <t>030302 - 1.2.10.02</t>
  </si>
  <si>
    <t>030302 - 1.2.10.02.001 - 32RB</t>
  </si>
  <si>
    <t>030302 - 1.2.13</t>
  </si>
  <si>
    <t>030302 - 1.2.13.01</t>
  </si>
  <si>
    <t>030303 - 1</t>
  </si>
  <si>
    <t>030303 - 1.1</t>
  </si>
  <si>
    <t>030303 - 1.1.01</t>
  </si>
  <si>
    <t>030303 - 1.1.01.02</t>
  </si>
  <si>
    <t>030303 - 1.1.01.02.104</t>
  </si>
  <si>
    <t>030303 - 1.1.01.02.104.02</t>
  </si>
  <si>
    <t>030303 - 1.1.01.02.104.02.01</t>
  </si>
  <si>
    <t>030303 - 1.1.01.02.104.02.01.01 - 150</t>
  </si>
  <si>
    <t>030303 - 1.1.01.02.104.02.01.02 - 150</t>
  </si>
  <si>
    <t>030303 - 1.1.01.02.104.02.02</t>
  </si>
  <si>
    <t>030303 - 1.1.01.02.104.02.02.01 - 150</t>
  </si>
  <si>
    <t>030303 - 1.1.01.02.104.02.02.02 - 150</t>
  </si>
  <si>
    <t>030303 - 1.1.01.02.105</t>
  </si>
  <si>
    <t>030303 - 1.1.01.02.105.01</t>
  </si>
  <si>
    <t>030303 - 1.1.01.02.105.01.01 - 29</t>
  </si>
  <si>
    <t>030303 - 1.1.01.02.105.02</t>
  </si>
  <si>
    <t>030303 - 1.1.01.02.105.02.02 - 29</t>
  </si>
  <si>
    <t>030303 - 1.1.02</t>
  </si>
  <si>
    <t>030303 - 1.1.02.06</t>
  </si>
  <si>
    <t>030303 - 1.1.02.06.001</t>
  </si>
  <si>
    <t>030303 - 1.1.02.06.001.02</t>
  </si>
  <si>
    <t>030303 - 1.1.02.06.001.02.04</t>
  </si>
  <si>
    <t>Subsidio a la oferta</t>
  </si>
  <si>
    <t>030303 - 1.1.02.06.001.02.04.01 - 30</t>
  </si>
  <si>
    <t>030303 - 1.1.02.07</t>
  </si>
  <si>
    <t>030303 - 1.1.02.07.002</t>
  </si>
  <si>
    <t>030303 - 1.1.02.07.002.01</t>
  </si>
  <si>
    <t>030303 - 1.1.02.07.002.01.02</t>
  </si>
  <si>
    <t>030303 - 1.1.02.07.002.01.02.01</t>
  </si>
  <si>
    <t>030303 - 1.1.02.07.002.01.02.01.01 - 150</t>
  </si>
  <si>
    <t>030303 - 1.1.02.07.002.01.02.02</t>
  </si>
  <si>
    <t>030303 - 1.1.02.07.002.01.02.02.02 - 150</t>
  </si>
  <si>
    <t>030303 - 1.1.02.07.002.01.03</t>
  </si>
  <si>
    <t>030303 - 1.1.02.07.002.01.03.02</t>
  </si>
  <si>
    <t>030303 - 1.1.02.07.002.01.03.02.01</t>
  </si>
  <si>
    <t>030303 - 1.1.02.07.002.01.03.02.01.01 - 150</t>
  </si>
  <si>
    <t>030303 - 1.1.02.07.002.01.03.02.02</t>
  </si>
  <si>
    <t>030303 - 1.1.02.07.002.01.03.02.02.01</t>
  </si>
  <si>
    <t>030303 - 1.1.02.07.002.01.03.02.02.01.02 - 150</t>
  </si>
  <si>
    <t>030303 - 1.2</t>
  </si>
  <si>
    <t>030303 - 1.2.05</t>
  </si>
  <si>
    <t>030303 - 1.2.05.02</t>
  </si>
  <si>
    <t>030303 - 1.2.05.02.001 - 150F</t>
  </si>
  <si>
    <t>030303 - 1.2.05.02.001 - 29F</t>
  </si>
  <si>
    <t>030303 - 1.2.05.02.001 - 30F</t>
  </si>
  <si>
    <t>030303 - 1.2.10</t>
  </si>
  <si>
    <t>030303 - 1.2.10.02</t>
  </si>
  <si>
    <t>030303 - 1.2.13</t>
  </si>
  <si>
    <t>030303 - 1.2.13.01</t>
  </si>
  <si>
    <t>030303 - 1.2.13.01.001 - 30</t>
  </si>
  <si>
    <t>030304 - 1</t>
  </si>
  <si>
    <t>030304 - 1.1</t>
  </si>
  <si>
    <t>030304 - 1.1.01</t>
  </si>
  <si>
    <t>030304 - 1.1.01.01</t>
  </si>
  <si>
    <t>030304 - 1.1.01.01.101</t>
  </si>
  <si>
    <t>030304 - 1.1.01.01.101.01 - 71A</t>
  </si>
  <si>
    <t>030304 - 1.1.01.02</t>
  </si>
  <si>
    <t>030304 - 1.1.01.02.101</t>
  </si>
  <si>
    <t>030304 - 1.1.01.02.101.01 - 72</t>
  </si>
  <si>
    <t>030304 - 1.1.01.02.101.01 - 72A</t>
  </si>
  <si>
    <t>030304 - 1.1.01.02.103</t>
  </si>
  <si>
    <t>030304 - 1.1.01.02.103.01 - 150A</t>
  </si>
  <si>
    <t>030304 - 1.1.01.02.104</t>
  </si>
  <si>
    <t>030304 - 1.1.01.02.104.02</t>
  </si>
  <si>
    <t>030304 - 1.1.01.02.104.02.01</t>
  </si>
  <si>
    <t>030304 - 1.1.01.02.104.02.01.01 - 150</t>
  </si>
  <si>
    <t>030304 - 1.1.01.02.104.02.01.02 - 150A</t>
  </si>
  <si>
    <t>030304 - 1.1.01.02.104.02.02</t>
  </si>
  <si>
    <t>030304 - 1.1.01.02.104.02.02.01 - 150</t>
  </si>
  <si>
    <t>030304 - 1.1.01.02.104.02.02.02 - 150A</t>
  </si>
  <si>
    <t>030304 - 1.1.01.02.105</t>
  </si>
  <si>
    <t>030304 - 1.1.01.02.105.01</t>
  </si>
  <si>
    <t>030304 - 1.1.01.02.105.01.01 - 29</t>
  </si>
  <si>
    <t>030304 - 1.1.01.02.105.02</t>
  </si>
  <si>
    <t>030304 - 1.1.01.02.105.02.02 - 29</t>
  </si>
  <si>
    <t>030304 - 1.1.01.02.105.02.02 - 29A</t>
  </si>
  <si>
    <t>030304 - 1.1.01.02.106</t>
  </si>
  <si>
    <t>030304 - 1.1.01.02.106.02</t>
  </si>
  <si>
    <t>Componente ad valorem del impuesto al consumo de cigarrillos y tabaco elaborado</t>
  </si>
  <si>
    <t>030304 - 1.1.01.02.106.02.02</t>
  </si>
  <si>
    <t>Componente ad valorem del impuesto al consumo de cigarrillos y tabaco elaborado - Extranjeros</t>
  </si>
  <si>
    <t>030304 - 1.1.01.02.106.02.02.02 - 56A</t>
  </si>
  <si>
    <t>030304 - 1.1.02</t>
  </si>
  <si>
    <t>030304 - 1.1.02.07</t>
  </si>
  <si>
    <t>030304 - 1.1.02.07.001</t>
  </si>
  <si>
    <t>030304 - 1.1.02.07.001.03</t>
  </si>
  <si>
    <t>030304 - 1.1.02.07.001.03.01 - 71A</t>
  </si>
  <si>
    <t>030304 - 1.1.02.07.001.04</t>
  </si>
  <si>
    <t>030304 - 1.1.02.07.001.04.01 - 70A</t>
  </si>
  <si>
    <t>030304 - 1.1.02.07.001.06</t>
  </si>
  <si>
    <t>030304 - 1.1.02.07.001.06.01 - 103A</t>
  </si>
  <si>
    <t>030304 - 1.1.02.07.001.09</t>
  </si>
  <si>
    <t>030304 - 1.1.02.07.001.09.01 - 89</t>
  </si>
  <si>
    <t>030304 - 1.1.02.07.001.09.01 - 89A</t>
  </si>
  <si>
    <t>030304 - 1.1.02.07.002</t>
  </si>
  <si>
    <t>030304 - 1.1.02.07.002.01</t>
  </si>
  <si>
    <t>030304 - 1.1.02.07.002.01.02</t>
  </si>
  <si>
    <t>030304 - 1.1.02.07.002.01.02.01</t>
  </si>
  <si>
    <t>030304 - 1.1.02.07.002.01.02.01.01 - 150</t>
  </si>
  <si>
    <t>030304 - 1.1.02.07.002.01.02.02</t>
  </si>
  <si>
    <t>030304 - 1.1.02.07.002.01.02.02.02 - 150</t>
  </si>
  <si>
    <t>030304 - 1.1.02.07.002.01.03</t>
  </si>
  <si>
    <t>030304 - 1.1.02.07.002.01.03.02</t>
  </si>
  <si>
    <t>030304 - 1.1.02.07.002.01.03.02.01</t>
  </si>
  <si>
    <t>030304 - 1.1.02.07.002.01.03.02.01.01 - 150</t>
  </si>
  <si>
    <t>030304 - 1.1.02.07.002.01.03.02.02</t>
  </si>
  <si>
    <t>030304 - 1.1.02.07.002.01.03.02.02.01</t>
  </si>
  <si>
    <t>030304 - 1.1.02.07.002.01.03.02.02.01.02 - 150A</t>
  </si>
  <si>
    <t>030304 - 1.2</t>
  </si>
  <si>
    <t>030304 - 1.2.05</t>
  </si>
  <si>
    <t>030304 - 1.2.05.02</t>
  </si>
  <si>
    <t>030304 - 1.2.05.02.001 - 106F</t>
  </si>
  <si>
    <t>030304 - 1.2.05.02.001 - 29F</t>
  </si>
  <si>
    <t>030304 - 1.2.05.02.001 - 89F</t>
  </si>
  <si>
    <t>030304 - 1.2.08</t>
  </si>
  <si>
    <t>Transferencias de capital</t>
  </si>
  <si>
    <t>030304 - 1.2.08.04</t>
  </si>
  <si>
    <t>Premios no reclamados</t>
  </si>
  <si>
    <t>030304 - 1.2.08.04.001</t>
  </si>
  <si>
    <t>Premios de juegos de suerte y azar</t>
  </si>
  <si>
    <t>030304 - 1.2.08.04.001.01 - 76A</t>
  </si>
  <si>
    <t>030304 - 1.2.08.04.002</t>
  </si>
  <si>
    <t>Premios de loterias</t>
  </si>
  <si>
    <t>030304 - 1.2.08.04.002.01 - 75A</t>
  </si>
  <si>
    <t>030304 - 1.2.08.04.003</t>
  </si>
  <si>
    <t>Premios de apuestas permanentes o chance</t>
  </si>
  <si>
    <t>030304 - 1.2.08.04.003.01 - 75A</t>
  </si>
  <si>
    <t>030304 - 1.2.13</t>
  </si>
  <si>
    <t>030304 - 1.2.13.01</t>
  </si>
  <si>
    <t>0304 - 1</t>
  </si>
  <si>
    <t>0304 - 1.1</t>
  </si>
  <si>
    <t>0304 - 1.1.02</t>
  </si>
  <si>
    <t>0304 - 1.1.02.01</t>
  </si>
  <si>
    <t>0304 - 1.1.02.01.005</t>
  </si>
  <si>
    <t>Contribuciones diversas</t>
  </si>
  <si>
    <t>0304 - 1.1.02.01.005.59</t>
  </si>
  <si>
    <t>Contribución especial sobre contratos de obras públicas</t>
  </si>
  <si>
    <t>0304 - 1.1.02.01.005.59.01 - 42</t>
  </si>
  <si>
    <t>Contribución especial sobre contratos de obras públicas - Seguridad (5% de Contratos)</t>
  </si>
  <si>
    <t>0304 - 1.2</t>
  </si>
  <si>
    <t>0304 - 1.2.05</t>
  </si>
  <si>
    <t>0304 - 1.2.05.02</t>
  </si>
  <si>
    <t>0304 - 1.2.05.02.001 - 42F</t>
  </si>
  <si>
    <t>0304 - 1.2.10</t>
  </si>
  <si>
    <t>0304 - 1.2.10.02</t>
  </si>
  <si>
    <t>0304 - 1.2.10.02.001 - 42RB</t>
  </si>
  <si>
    <t>0305 - 1</t>
  </si>
  <si>
    <t>0305 - 1.1</t>
  </si>
  <si>
    <t>0305 - 1.1.02</t>
  </si>
  <si>
    <t>0305 - 1.1.02.05</t>
  </si>
  <si>
    <t>0305 - 1.1.02.05.002</t>
  </si>
  <si>
    <t>0305 - 1.1.02.05.002.09</t>
  </si>
  <si>
    <t>0305 - 1.1.02.05.002.09.02</t>
  </si>
  <si>
    <t>Servicios de educación</t>
  </si>
  <si>
    <t>0305 - 1.1.02.05.002.09.02.09</t>
  </si>
  <si>
    <t>Otros tipos de educación y servicios de apoyo educativo</t>
  </si>
  <si>
    <t>0305 - 1.1.02.05.002.09.02.09.02</t>
  </si>
  <si>
    <t>Servicios de apoyo educativo</t>
  </si>
  <si>
    <t>0305 - 1.1.02.05.002.09.02.09.02.00 - 151</t>
  </si>
  <si>
    <t>Servicios de apoyo educativo (Estudio de crédito - Otros gastos)</t>
  </si>
  <si>
    <t>0305 - 1.2</t>
  </si>
  <si>
    <t>0305 - 1.2.05</t>
  </si>
  <si>
    <t>0305 - 1.2.05.02</t>
  </si>
  <si>
    <t>0305 - 1.2.05.02.001 - 151F</t>
  </si>
  <si>
    <t>0305 - 1.2.05.05</t>
  </si>
  <si>
    <t>Intereses por préstamos</t>
  </si>
  <si>
    <t>0305 - 1.2.05.05.001 - 151</t>
  </si>
  <si>
    <t>0305 - 1.2.09</t>
  </si>
  <si>
    <t>Recuperación de cartera - préstamos</t>
  </si>
  <si>
    <t>0305 - 1.2.09.03</t>
  </si>
  <si>
    <t>De personas naturales</t>
  </si>
  <si>
    <t>0305 - 1.2.09.03.001 - 151</t>
  </si>
  <si>
    <t>0305 - 1.2.10</t>
  </si>
  <si>
    <t>0305 - 1.2.10.02</t>
  </si>
  <si>
    <t>0305 - 1.2.10.02.001 - 151R</t>
  </si>
  <si>
    <t>0306 - 1</t>
  </si>
  <si>
    <t>0306 - 1.1</t>
  </si>
  <si>
    <t>0306 - 1.1.01</t>
  </si>
  <si>
    <t>0306 - 1.1.01.02</t>
  </si>
  <si>
    <t>0306 - 1.1.01.02.100</t>
  </si>
  <si>
    <t>0306 - 1.1.01.02.100.01</t>
  </si>
  <si>
    <t>0306 - 1.1.01.02.100.01.01 - 09</t>
  </si>
  <si>
    <t>0306 - 1.1.01.02.100.02</t>
  </si>
  <si>
    <t>0306 - 1.1.01.02.100.02.01 - 09</t>
  </si>
  <si>
    <t>0306 - 1.1.01.02.300</t>
  </si>
  <si>
    <t>0306 - 1.1.01.02.300.01 - 08</t>
  </si>
  <si>
    <t>0306 - 1.1.01.02.300.02 - 04</t>
  </si>
  <si>
    <t>0306 - 1.1.01.02.300.05 - 05</t>
  </si>
  <si>
    <t>0306 - 1.1.01.02.300.18 - 45</t>
  </si>
  <si>
    <t>0306 - 1.1.01.02.300.49 - 06</t>
  </si>
  <si>
    <t>0306 - 1.1.01.02.300.55 - 12</t>
  </si>
  <si>
    <t>0306 - 1.1.01.02.300.63 - 84</t>
  </si>
  <si>
    <t>0306 - 1.1.02</t>
  </si>
  <si>
    <t>0306 - 1.1.02.06</t>
  </si>
  <si>
    <t>0306 - 1.1.02.06.009</t>
  </si>
  <si>
    <t>Recursos del Sistema de Seguridad Social Integral</t>
  </si>
  <si>
    <t>0306 - 1.1.02.06.009.02</t>
  </si>
  <si>
    <t>Sistema General de Pensiones</t>
  </si>
  <si>
    <t>0306 - 1.1.02.06.009.02.02</t>
  </si>
  <si>
    <t>Cuotas partes pensionales</t>
  </si>
  <si>
    <t>0306 - 1.1.02.06.009.02.02.01 - 69</t>
  </si>
  <si>
    <t>0306 - 1.2</t>
  </si>
  <si>
    <t>0306 - 1.2.05</t>
  </si>
  <si>
    <t>0306 - 1.2.05.02</t>
  </si>
  <si>
    <t>0306 - 1.2.05.02.001 - 04F</t>
  </si>
  <si>
    <t>0306 - 1.2.05.02.001 - 05F</t>
  </si>
  <si>
    <t>0306 - 1.2.05.02.001 - 06DF</t>
  </si>
  <si>
    <t>0306 - 1.2.05.02.001 - 06F</t>
  </si>
  <si>
    <t>0306 - 1.2.05.02.001 - 09F</t>
  </si>
  <si>
    <t>0306 - 1.2.05.02.001 - 100F</t>
  </si>
  <si>
    <t>0306 - 1.2.05.02.001 - 12F</t>
  </si>
  <si>
    <t>0306 - 1.2.05.02.001 - 69F</t>
  </si>
  <si>
    <t>0306 - 1.2.05.02.001 - 84F</t>
  </si>
  <si>
    <t>0306 - 1.2.10</t>
  </si>
  <si>
    <t>0306 - 1.2.10.02</t>
  </si>
  <si>
    <t>0306 - 1.2.12</t>
  </si>
  <si>
    <t>Retiros FONPET</t>
  </si>
  <si>
    <t>Para el pago de obligaciones pensionales corrientes</t>
  </si>
  <si>
    <t>0306 - 1.2.13</t>
  </si>
  <si>
    <t>0306 - 1.2.13.01</t>
  </si>
  <si>
    <t>0306 - 1.2.12.09</t>
  </si>
  <si>
    <t>030304 - 1.1.01.02.106.01.02.02 - 56</t>
  </si>
  <si>
    <t>GOBERNACION DEL META</t>
  </si>
  <si>
    <t>0301 - 1.2.10.01.001 - 0RB</t>
  </si>
  <si>
    <t>0301 - 1.2.10.01.001 - 04DR</t>
  </si>
  <si>
    <t>0301 - 1.2.10.01.001 - 191R</t>
  </si>
  <si>
    <t>0301 - 1.2.10.01.001 - 20RB</t>
  </si>
  <si>
    <t>0301 - 1.2.10.02.001 - 0FRB</t>
  </si>
  <si>
    <t>0301 - 1.2.10.02.001 - 0PRB</t>
  </si>
  <si>
    <t>0301 - 1.2.10.02.001 - 01RB</t>
  </si>
  <si>
    <t>0301 - 1.2.10.02.001 - 04RB</t>
  </si>
  <si>
    <t>0301 - 1.2.10.02.001 - 05RB</t>
  </si>
  <si>
    <t>0301 - 1.2.10.02.001 - 08RB</t>
  </si>
  <si>
    <t>0301 - 1.2.10.02.001 - 10RB</t>
  </si>
  <si>
    <t>0301 - 1.2.10.02.001 - 100I</t>
  </si>
  <si>
    <t>0301 - 1.2.10.02.001 - 13RB</t>
  </si>
  <si>
    <t>0301 - 1.2.10.02.001 - 14RB</t>
  </si>
  <si>
    <t>0301 - 1.2.10.02.001 - 191R</t>
  </si>
  <si>
    <t>0301 - 1.2.10.02.001 - 193R</t>
  </si>
  <si>
    <t>0301 - 1.2.10.02.001 - 20RB</t>
  </si>
  <si>
    <t>0301 - 1.2.10.02.001 - 23RB</t>
  </si>
  <si>
    <t>0301 - 1.2.10.02.001 - 60RB</t>
  </si>
  <si>
    <t>0301 - 1.2.10.02.001 - 61RB</t>
  </si>
  <si>
    <t>0301 - 1.2.10.02.001 - 99RB</t>
  </si>
  <si>
    <t>0301 - 1.2.13.01.001 - 05</t>
  </si>
  <si>
    <t>0301 - 1.2.13.01.001 - 08</t>
  </si>
  <si>
    <t>0301 - 1.2.13.01.001 - 100I</t>
  </si>
  <si>
    <t>0301 - 1.2.13.01.001 - 125</t>
  </si>
  <si>
    <t>0301 - 1.2.13.01.001 - 13</t>
  </si>
  <si>
    <t>0301 - 1.2.13.01.001 - 17</t>
  </si>
  <si>
    <t>0301 - 1.2.13.01.001 - 191</t>
  </si>
  <si>
    <t>0301 - 1.2.13.01.001 - 193</t>
  </si>
  <si>
    <t>0301 - 1.2.13.01.001 - 20</t>
  </si>
  <si>
    <t>0301 - 1.2.13.01.001 - 23</t>
  </si>
  <si>
    <t>0302 - 1.2.10.02.001 - 0ERB</t>
  </si>
  <si>
    <t>0302 - 1.2.10.02.001 - 153R</t>
  </si>
  <si>
    <t>0302 - 1.2.10.02.001 - 25FR</t>
  </si>
  <si>
    <t>0302 - 1.2.10.02.001 - 25RB</t>
  </si>
  <si>
    <t>0302 - 1.2.10.02.001 - 27RB</t>
  </si>
  <si>
    <t>0302 - 1.2.10.02.001 - 96H0</t>
  </si>
  <si>
    <t>0302 - 1.2.10.02.001 - 96RB</t>
  </si>
  <si>
    <t>03030101 - 1.2.13.01.001 - 70</t>
  </si>
  <si>
    <t>03030102 - 1.2.05.02.001 - 106F</t>
  </si>
  <si>
    <t>03030102 - 1.2.05.02.001 - 150F</t>
  </si>
  <si>
    <t>03030102 - 1.2.05.02.001 - 16F</t>
  </si>
  <si>
    <t>03030102 - 1.2.05.02.001 - 29F</t>
  </si>
  <si>
    <t>03030102 - 1.2.05.02.001 - 41F</t>
  </si>
  <si>
    <t>03030102 - 1.2.05.02.001 - 84F</t>
  </si>
  <si>
    <t>03030102 - 1.2.10.02.001 - 41RB</t>
  </si>
  <si>
    <t>030302 - 1.2.13.01.001 - 33</t>
  </si>
  <si>
    <t>030303 - 1.2.10.02.001 - 103A</t>
  </si>
  <si>
    <t>030303 - 1.2.10.02.001 - 103R</t>
  </si>
  <si>
    <t>030303 - 1.2.10.02.001 - 149R</t>
  </si>
  <si>
    <t>030303 - 1.2.10.02.001 - 150R</t>
  </si>
  <si>
    <t>030303 - 1.2.10.02.001 - 29RB</t>
  </si>
  <si>
    <t>030303 - 1.2.10.02.001 - 30RB</t>
  </si>
  <si>
    <t>030303 - 1.2.10.02.001 - 70RB</t>
  </si>
  <si>
    <t>030303 - 1.2.10.02.001 - 71RB</t>
  </si>
  <si>
    <t>030303 - 1.2.10.02.001 - 72RB</t>
  </si>
  <si>
    <t>030303 - 1.2.10.02.001 - 84RB</t>
  </si>
  <si>
    <t>030303 - 1.2.10.02.001 - 89RB</t>
  </si>
  <si>
    <t>030304 - 1.1.01.02.106.01</t>
  </si>
  <si>
    <t>030304 - 1.1.01.02.106.01.02</t>
  </si>
  <si>
    <t>030304 - 1.2.13.01.001 - 103A</t>
  </si>
  <si>
    <t>030304 - 1.2.13.01.001 - 150A</t>
  </si>
  <si>
    <t>030304 - 1.2.13.01.001 - 29A</t>
  </si>
  <si>
    <t>030304 - 1.2.13.01.001 - 56A</t>
  </si>
  <si>
    <t>030304 - 1.2.13.01.001 - 70A</t>
  </si>
  <si>
    <t>030304 - 1.2.13.01.001 - 71A</t>
  </si>
  <si>
    <t>030304 - 1.2.13.01.001 - 72A</t>
  </si>
  <si>
    <t>030304 - 1.2.13.01.001 - 75A</t>
  </si>
  <si>
    <t>0306 - 1.2.10.02.001 - 04RB</t>
  </si>
  <si>
    <t>0306 - 1.2.10.02.001 - 06RB</t>
  </si>
  <si>
    <t>0306 - 1.2.10.02.001 - 09RB</t>
  </si>
  <si>
    <t>0306 - 1.2.10.02.001 - 100R</t>
  </si>
  <si>
    <t>0306 - 1.2.10.02.001 - 12RB</t>
  </si>
  <si>
    <t>0306 - 1.2.10.02.001 - 69RB</t>
  </si>
  <si>
    <t>0306 - 1.2.13.01.001 - 06</t>
  </si>
  <si>
    <t>0306 - 1.2.13.01.001 - 06D</t>
  </si>
  <si>
    <t>0306 - 1.2.13.01.001 - 100</t>
  </si>
  <si>
    <t>INGRESOS</t>
  </si>
  <si>
    <t>INGRESOS CORRIENTES</t>
  </si>
  <si>
    <t>INGRESOS NO TRIBUTARIOS</t>
  </si>
  <si>
    <t>RECURSOS DE CAPITAL</t>
  </si>
  <si>
    <t>RENDIMIENTOS FINANCIEROS</t>
  </si>
  <si>
    <t>0301 ADMINISTRACION CENTRAL 0301-DESPACHO DEL GOBERNADOR Y SECRETARIAS</t>
  </si>
  <si>
    <t>CONCEPTO DEL INGRESO</t>
  </si>
  <si>
    <t>0301 - 1.2.02.02</t>
  </si>
  <si>
    <t>TOTAL UNIDAD 0301</t>
  </si>
  <si>
    <t>Unidad Ejecutora:  0302 - FONDO DE EDUCACIÓN</t>
  </si>
  <si>
    <t>RUBRO</t>
  </si>
  <si>
    <t xml:space="preserve">DESCRIPCIÓN </t>
  </si>
  <si>
    <t>TOTAL UNIDAD 0302</t>
  </si>
  <si>
    <t>Unidad Ejecutora:  0303 - FONDO DE SALUD</t>
  </si>
  <si>
    <t>0303 -</t>
  </si>
  <si>
    <t>FONDOS LOCAL DE SALUD</t>
  </si>
  <si>
    <t>0303 01</t>
  </si>
  <si>
    <t>SUBCUENTA DE OTROS GASTOS EN SALUD</t>
  </si>
  <si>
    <t>0301 011</t>
  </si>
  <si>
    <t>FUNCIONAMIENTO</t>
  </si>
  <si>
    <t>030301 012</t>
  </si>
  <si>
    <t>INVERSIÓN</t>
  </si>
  <si>
    <t>Estampilla prohospitales públicos, centros de salud públicos y puestos de salud públicos del Departa</t>
  </si>
  <si>
    <t>030302</t>
  </si>
  <si>
    <t>SUBCUENTA DE SALUD PÚBLICA COLECTIVA</t>
  </si>
  <si>
    <t>SUBCUENTA PRESTACIÓN DE SERVICIOS DE SALUD EN LO NO CUBIERTO CON SUBSIDIOS A LA DEMANDA</t>
  </si>
  <si>
    <t>030304</t>
  </si>
  <si>
    <t>SUBCUENTA DE REGIMEN SUBSIDIADO DE SALUD</t>
  </si>
  <si>
    <t>TOTAL UNIDAD 0303</t>
  </si>
  <si>
    <t>Unidad Ejecutora:  0304 - FONDO DE SEGURIDAD</t>
  </si>
  <si>
    <t>TOTAL UNIDAD 0304</t>
  </si>
  <si>
    <t>Unidad Ejecutora:  0305 - FONDO DE EDUCACIÓN SUPERIOR</t>
  </si>
  <si>
    <t>PROYECCIÓN 2024</t>
  </si>
  <si>
    <t>TOTAL UNIDAD 0305</t>
  </si>
  <si>
    <t>Unidad Ejecutora:  0306 - FONDO DE PENSIONES</t>
  </si>
  <si>
    <t>APROPIACIÓN 2023</t>
  </si>
  <si>
    <t>TOTAL UNIDAD 0306</t>
  </si>
  <si>
    <t>II. INGRESOS ESTABLECIMIENTOS PÚBLICOS</t>
  </si>
  <si>
    <t>SECCIÓN 02</t>
  </si>
  <si>
    <t>INSTITUTO DE DEPORTE DEL META</t>
  </si>
  <si>
    <t>Recursos Propios</t>
  </si>
  <si>
    <t>1.1</t>
  </si>
  <si>
    <t>1.1.02</t>
  </si>
  <si>
    <t>1.1.02.05</t>
  </si>
  <si>
    <t>VENTA DE BIENES Y SERVICIOS</t>
  </si>
  <si>
    <t>1.1.02.05.002</t>
  </si>
  <si>
    <t>VENTAS INCIDENTALES DE ESTABLECIMIENTOS NO DE MERCADO</t>
  </si>
  <si>
    <t xml:space="preserve">1.1.02.05.002.07 </t>
  </si>
  <si>
    <t>Servicios financieros y servicios conexos; servicios inmobiliarios; y servicios de arrendamiento y leasing</t>
  </si>
  <si>
    <t>1.1.02.06</t>
  </si>
  <si>
    <t>TRANSFERENCIAS CORRIENTES</t>
  </si>
  <si>
    <t>1.1.02.06.006</t>
  </si>
  <si>
    <t>TRANSFERENCIAS DE OTRAS ENTIDADES DEL GOBIERNO GENERAL</t>
  </si>
  <si>
    <t>1.1.02.06.006.01</t>
  </si>
  <si>
    <t>Aportes Nacion</t>
  </si>
  <si>
    <t>1.1.02.06.006.06</t>
  </si>
  <si>
    <t>Otras unidades del Gobierno</t>
  </si>
  <si>
    <t xml:space="preserve">1.1.02.06.006.06.01 </t>
  </si>
  <si>
    <t>Departamento del Meta (Impuesto al Cigarrillo)</t>
  </si>
  <si>
    <t>Departamento del Meta (IVA Licores)</t>
  </si>
  <si>
    <t>Departamento del Meta (Tasa Prodeporte y Recreacion)</t>
  </si>
  <si>
    <t>Departamento del Meta - ICLD Inversion</t>
  </si>
  <si>
    <t>Departamento del Meta - ICLD Funcionamiento</t>
  </si>
  <si>
    <t>1.2</t>
  </si>
  <si>
    <t>1.2.05</t>
  </si>
  <si>
    <t xml:space="preserve">1.2.05.02 </t>
  </si>
  <si>
    <t>1.2.08</t>
  </si>
  <si>
    <t>TRANSFERENCIAS DE CAPITAL</t>
  </si>
  <si>
    <t>1.2.08.06</t>
  </si>
  <si>
    <t>De otras entidades del gobierno general</t>
  </si>
  <si>
    <t>1.2.08.06.01</t>
  </si>
  <si>
    <t>Departamento del Meta (Estampilla Prodesarrollo)</t>
  </si>
  <si>
    <t>1.2.10</t>
  </si>
  <si>
    <t>RECURSOS DE BALANCE</t>
  </si>
  <si>
    <t>1.2.10.01</t>
  </si>
  <si>
    <t>Cancelacion reservas</t>
  </si>
  <si>
    <t>1.2.10.02</t>
  </si>
  <si>
    <t>Superavit fiscal</t>
  </si>
  <si>
    <t>1.2.05.02</t>
  </si>
  <si>
    <t>Cancelacion de reservas</t>
  </si>
  <si>
    <t>TOTAL SECCION 02</t>
  </si>
  <si>
    <t>SECCIÓN 03</t>
  </si>
  <si>
    <t>INSTITUTO DE CULTURA DEL META</t>
  </si>
  <si>
    <t>OTRAS UNIDADES DE GOBIERNO</t>
  </si>
  <si>
    <t>1.1.02.06.006.06.01</t>
  </si>
  <si>
    <t>1.1.02.06.006.06.03</t>
  </si>
  <si>
    <t>MINISTERIO IVA TELEFONIA CELULAR</t>
  </si>
  <si>
    <t>1.2.02</t>
  </si>
  <si>
    <t>EXCEDENTES FINACIEROS</t>
  </si>
  <si>
    <t>1.2.02.01</t>
  </si>
  <si>
    <t>ESTABLECIMIENTOS PUBLICOS</t>
  </si>
  <si>
    <t>1.2.02.01.01</t>
  </si>
  <si>
    <t>RECURSOS PROPIOS</t>
  </si>
  <si>
    <t>1.2.02.01.03</t>
  </si>
  <si>
    <t>FONDO DEL GESTOR CULTURAL</t>
  </si>
  <si>
    <t>1.2.02.01.04</t>
  </si>
  <si>
    <t>RED DE BIBLIOTECAS PUBLICAS DEL DEPARTAMENTO DEL META</t>
  </si>
  <si>
    <t>DEPÓSITOS</t>
  </si>
  <si>
    <t>1.2.05.02.01</t>
  </si>
  <si>
    <t>RENDIMIENTOS FINANCIEROS CUENTA RECURSOS PROPIOS</t>
  </si>
  <si>
    <t>1.2.05.02.02</t>
  </si>
  <si>
    <t>RENDIMIENTOS FINANCIEROS CUENTA FONDO DEL GESTOR CULTURAL</t>
  </si>
  <si>
    <t>SECCIÓN 04</t>
  </si>
  <si>
    <t>INSTITUTO DE TURISMO DEL META</t>
  </si>
  <si>
    <t>1.1.02.05.002.09</t>
  </si>
  <si>
    <t>1.1.02.05.002.09.06</t>
  </si>
  <si>
    <t>1.1.02.05.002.09.06.04</t>
  </si>
  <si>
    <t>1.1.02.05.002.09.06.04.02</t>
  </si>
  <si>
    <t>Servicios de jardines botánicos zoológicos y reservas naturales</t>
  </si>
  <si>
    <t>06</t>
  </si>
  <si>
    <t>1.1.02.06.006.06.02</t>
  </si>
  <si>
    <t>20</t>
  </si>
  <si>
    <t>1.2.13</t>
  </si>
  <si>
    <t>1.2.13.01</t>
  </si>
  <si>
    <t>1.2.13.02</t>
  </si>
  <si>
    <t>TOTAL SECCIÓN 04</t>
  </si>
  <si>
    <t>SECCIÓN 05</t>
  </si>
  <si>
    <t>INSTITUTO DE TRANSITO DEL META</t>
  </si>
  <si>
    <t>1</t>
  </si>
  <si>
    <t>1.1.02.02</t>
  </si>
  <si>
    <t>TASAS Y DERECHOS ADMINISTRATIVOS</t>
  </si>
  <si>
    <t>1.1.02.02.102</t>
  </si>
  <si>
    <t>Derechos de Transito</t>
  </si>
  <si>
    <t>1.1.02.02.102.01</t>
  </si>
  <si>
    <t>Matricula Inicial</t>
  </si>
  <si>
    <t>1.1.02.02.102.02</t>
  </si>
  <si>
    <t>Placas</t>
  </si>
  <si>
    <t>1.1.02.02.102.03</t>
  </si>
  <si>
    <t>Traspasos</t>
  </si>
  <si>
    <t>1.1.02.02.102.04</t>
  </si>
  <si>
    <t>Licencias de Conduccion</t>
  </si>
  <si>
    <t>1.1.02.02.102.05</t>
  </si>
  <si>
    <t>Cambio de caracteristicas del Vehiculo Automotor</t>
  </si>
  <si>
    <t>1.1.02.02.102.06</t>
  </si>
  <si>
    <t>Cambio de Servicio de Vehiculo Automotor</t>
  </si>
  <si>
    <t>1.1.02.02.102.07</t>
  </si>
  <si>
    <t>Otros Servicios de Transito</t>
  </si>
  <si>
    <t>1.1.02.03</t>
  </si>
  <si>
    <t>MULTAS  SANCIONES E INTERESES DE MORA</t>
  </si>
  <si>
    <t>1.1.02.03.001</t>
  </si>
  <si>
    <t>Multas y Sanciones</t>
  </si>
  <si>
    <t>1.1.02.03.001.09</t>
  </si>
  <si>
    <t>Multas de Transito y Transporte</t>
  </si>
  <si>
    <t>TOTAL SECCIÓN 05</t>
  </si>
  <si>
    <t>SECCIÓN 06</t>
  </si>
  <si>
    <t>UNIDAD DE LICORES DEL META</t>
  </si>
  <si>
    <t xml:space="preserve">INGRESOS </t>
  </si>
  <si>
    <t>1.1.2</t>
  </si>
  <si>
    <t>Ingresos No Tributarios</t>
  </si>
  <si>
    <t>Ventas de bienes y servicios</t>
  </si>
  <si>
    <t>1.1.02.05.001</t>
  </si>
  <si>
    <t>1.1.02.05.001.02</t>
  </si>
  <si>
    <t>EXCEDENTES FINANCIEROS</t>
  </si>
  <si>
    <t>Establecimientos publicos</t>
  </si>
  <si>
    <t>TOTAL SECCIÓN 06</t>
  </si>
  <si>
    <t>SECCIÓN 07</t>
  </si>
  <si>
    <t>CASA DE LA CULTURA JORGE ELIECER GAITAN</t>
  </si>
  <si>
    <t>1.1.02.05.002.07</t>
  </si>
  <si>
    <t>1.1.02.05.002.08</t>
  </si>
  <si>
    <t>Servicios prestados a las empresas y servicios de produccion</t>
  </si>
  <si>
    <t>Transferencias Corrientes</t>
  </si>
  <si>
    <t>1.1.02.06.006.06-01</t>
  </si>
  <si>
    <t>1.1.02.06.006.06-02</t>
  </si>
  <si>
    <t>Recursos de Capital</t>
  </si>
  <si>
    <t>Rendimientos Financieros</t>
  </si>
  <si>
    <t>Recursos del Balance</t>
  </si>
  <si>
    <t>TOTAL SECCIÓN 07</t>
  </si>
  <si>
    <t>SECCIÓN 08</t>
  </si>
  <si>
    <t>AGENCIA PARA LA INFRAESTRUCTURA DEL META</t>
  </si>
  <si>
    <t>IDENTIFICACIÓN PRESUPUESTAL</t>
  </si>
  <si>
    <t>DESCRIPCIÓN</t>
  </si>
  <si>
    <t>1003 - 1</t>
  </si>
  <si>
    <t xml:space="preserve">1003 - 1.1 </t>
  </si>
  <si>
    <t>1003 - 1.1.02</t>
  </si>
  <si>
    <t>1003 - 1.1.02.06</t>
  </si>
  <si>
    <t>1003 - 1.1.02.06.006</t>
  </si>
  <si>
    <t>TRANSFERENCIAS DE OTRAS ENTIDADES DEL GOBIERNO GENERAL - TRANSFERENCIA DEL DEPARTAMENTO DEL META</t>
  </si>
  <si>
    <t>1003 - 1.1.02.06.006.06</t>
  </si>
  <si>
    <t>OTRAS UNIDADES DEL GOBIERNO</t>
  </si>
  <si>
    <t>1003 - 1.1.02.06.006.06 01 - 03</t>
  </si>
  <si>
    <t>1003 - 1.1.02.06.006.06 01 - 20</t>
  </si>
  <si>
    <t>1003 - 1.2</t>
  </si>
  <si>
    <t>1003 - 1.2.08</t>
  </si>
  <si>
    <t>1003 - 1.2.08.06</t>
  </si>
  <si>
    <t>1003 - 1.2.08.06.002</t>
  </si>
  <si>
    <t>Condicionadas a la adquisición de un activo</t>
  </si>
  <si>
    <t>1003 - 1.2.08.06.002.01 - 04</t>
  </si>
  <si>
    <t>Transferencias para Inversión</t>
  </si>
  <si>
    <t>1003 - 1.2.08.06.002.01 - 05</t>
  </si>
  <si>
    <t>1003 - 1.2.08.06.002.01 - 08</t>
  </si>
  <si>
    <t>1003 - 1.2.08.06.002.01 - 20</t>
  </si>
  <si>
    <t>1003 - 1.2.08.06.002.01 - 23</t>
  </si>
  <si>
    <t>1003 - 1.2.08.06.002.01 - 312</t>
  </si>
  <si>
    <t>1003 - 1.2.08.06.002.01 - 316</t>
  </si>
  <si>
    <t>TOTAL SECCIÓN 08</t>
  </si>
  <si>
    <t>TOTAL PRESUPUESTO GENERAL DEL DEPARTAMENTO</t>
  </si>
  <si>
    <t>PROYECCIÓN 2026</t>
  </si>
  <si>
    <t>0301 - 1.1.01.02.300.49 - 06</t>
  </si>
  <si>
    <t>0306 - 1.2.12.09.001 - 100RB</t>
  </si>
  <si>
    <t>100RB</t>
  </si>
  <si>
    <t>Estampilla para la justicia familiar</t>
  </si>
  <si>
    <t/>
  </si>
  <si>
    <t>SERVICIOS PARA LA COMUNIDAD SOCIALES Y PERSONALES</t>
  </si>
  <si>
    <t>SERVICIOS RECREATIVOS CULTURALES Y DEPORTIVOS</t>
  </si>
  <si>
    <t>1.1.02.05.002.09.06.02</t>
  </si>
  <si>
    <t>SERVICIOS DE PROMOCION Y PRESENTACION DE ARTES ESCENICAS Y EVENTOS</t>
  </si>
  <si>
    <t>1.1.02.05.002.09.06.02.03</t>
  </si>
  <si>
    <t>SERVICIOS DE FUNCIONAMIENTO E INSTALACIONES E INFRAESTRUCTURA CULTURAL</t>
  </si>
  <si>
    <t>1.1.02.05.002.09.06.02.03.01</t>
  </si>
  <si>
    <t>servicios de funcionamiento e instalaciones e infraestructura cultural</t>
  </si>
  <si>
    <t>SERVICIOS DE MUSEOS Y PRESERVACION</t>
  </si>
  <si>
    <t>200</t>
  </si>
  <si>
    <t>Transferencia departamento estampilla proturismo</t>
  </si>
  <si>
    <t>Transferencia departamento</t>
  </si>
  <si>
    <t>0306 - 1.2.12.09.001 - 100</t>
  </si>
  <si>
    <t>1003 - 1.2.08.06.002.01 - 23F</t>
  </si>
  <si>
    <t>INGRESOS PROPIOS</t>
  </si>
  <si>
    <t>Ventas de establecimientos de mercado</t>
  </si>
  <si>
    <t>Productos alimenticios, bebidas</t>
  </si>
  <si>
    <t>Servicios financieros y servicios conexos, servicios inmobiliarios y servicios de arrendamiento y leasing</t>
  </si>
  <si>
    <t>Transferencias del Depto para Funcionamiento</t>
  </si>
  <si>
    <t xml:space="preserve"> </t>
  </si>
  <si>
    <t xml:space="preserve">Transferencias del  Depto  para Inversión </t>
  </si>
  <si>
    <t>0301 - 1.1.01.02.300.61 - 47</t>
  </si>
  <si>
    <t>0306 - 1.1.01.02.300.61 - 47</t>
  </si>
  <si>
    <t>Estampilla Justicia Familiar</t>
  </si>
  <si>
    <t>FUENTE</t>
  </si>
  <si>
    <t>NIVEL</t>
  </si>
  <si>
    <t>ORGANO EJECUTOR</t>
  </si>
  <si>
    <t>INGRESO AGREGADO</t>
  </si>
  <si>
    <t>CLASE INGRESO</t>
  </si>
  <si>
    <t>TIPO INGRESO</t>
  </si>
  <si>
    <t>CODIGO PPTAL</t>
  </si>
  <si>
    <t>PLAN FINANCIERO INGRESOS</t>
  </si>
  <si>
    <t>AC</t>
  </si>
  <si>
    <t>EP</t>
  </si>
  <si>
    <t>DESPACHO Y SECRETARIAS</t>
  </si>
  <si>
    <t>FONDO EDUCACION</t>
  </si>
  <si>
    <t>FONDO SALUD</t>
  </si>
  <si>
    <t>FONDO SEGURIDAD</t>
  </si>
  <si>
    <t>FONDO PENSIONES</t>
  </si>
  <si>
    <t>IDERMETA</t>
  </si>
  <si>
    <t>INSTITUTO CULTURA</t>
  </si>
  <si>
    <t>INST ITUTO TURISMO</t>
  </si>
  <si>
    <t>AIM</t>
  </si>
  <si>
    <t>ICLD 1</t>
  </si>
  <si>
    <t>ICLD 2</t>
  </si>
  <si>
    <t>ICDE</t>
  </si>
  <si>
    <t>ESTAMPILLAS</t>
  </si>
  <si>
    <t>SGP</t>
  </si>
  <si>
    <t>COFINANCIACION</t>
  </si>
  <si>
    <t>CREDITO</t>
  </si>
  <si>
    <t>REGALIAS</t>
  </si>
  <si>
    <t>ICDE SALUD</t>
  </si>
  <si>
    <t>CORRIENTE</t>
  </si>
  <si>
    <t>CAPITAL</t>
  </si>
  <si>
    <t>TRIBUTARIO</t>
  </si>
  <si>
    <t>NO TRIBUTARIO</t>
  </si>
  <si>
    <t>EXCEDENTES</t>
  </si>
  <si>
    <t>DIVIDENDOS</t>
  </si>
  <si>
    <t>RENDIMIENTOS</t>
  </si>
  <si>
    <t>CANC RESERVAS</t>
  </si>
  <si>
    <t>SUPERAVIT</t>
  </si>
  <si>
    <t>REINTEGROS</t>
  </si>
  <si>
    <t>OTROS RK</t>
  </si>
  <si>
    <t>RET FONPET</t>
  </si>
  <si>
    <t>REC CARTERA</t>
  </si>
  <si>
    <t>TRANSF K</t>
  </si>
  <si>
    <t>SUPERAVIT FISCAL</t>
  </si>
  <si>
    <t>INSTITUTO TRANSITO</t>
  </si>
  <si>
    <t>UNIDAD LICORES</t>
  </si>
  <si>
    <t>CASA CULTURA</t>
  </si>
  <si>
    <t>2026</t>
  </si>
  <si>
    <t>Etiquetas de fila</t>
  </si>
  <si>
    <t>Total general</t>
  </si>
  <si>
    <t>Suma de 2026</t>
  </si>
  <si>
    <t>FONDO EDUCACION SUPERIOR</t>
  </si>
  <si>
    <t>SUBCUENTA</t>
  </si>
  <si>
    <t>OTROS GASTOS FTO</t>
  </si>
  <si>
    <t>OTROS GASTOS INVERSION</t>
  </si>
  <si>
    <t>SALUD PUBLICA</t>
  </si>
  <si>
    <t>PRESTACION SERVICIOS</t>
  </si>
  <si>
    <t>REGIMEN SUBSIDIADO</t>
  </si>
  <si>
    <t>N/A</t>
  </si>
  <si>
    <t>PF INICIAL</t>
  </si>
  <si>
    <t>AJUSTE 1</t>
  </si>
  <si>
    <t>CONCPETO INGRESO</t>
  </si>
  <si>
    <t>TOTAL PLAN FINANCIERO</t>
  </si>
  <si>
    <t>PF TOTAL</t>
  </si>
  <si>
    <t>PF AJUSTE 1</t>
  </si>
  <si>
    <t>AJUSTE 2</t>
  </si>
  <si>
    <t>PLAN FINANCIERO INGRESOS NIVEL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</si>
</sst>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$&quot;\ * #,##0.00_);_(&quot;$&quot;\ * \(#,##0.00\);_(&quot;$&quot;\ * &quot;-&quot;??_);_(@_)"/>
    <numFmt numFmtId="166" formatCode="_-* #,##0_-;\-* #,##0_-;_-* &quot;-&quot;??_-;_-@_-"/>
    <numFmt numFmtId="167" formatCode="#,##0.00_ ;\-#,##0.00\ "/>
    <numFmt numFmtId="168" formatCode="_(* #,##0_);_(* \(#,##0\);_(* &quot;-&quot;??_);_(@_)"/>
  </numFmts>
  <fonts count="19" x14ac:knownFonts="1">
    <font>
      <sz val="10"/>
      <color indexed="8"/>
      <name val="MS Sans Serif"/>
    </font>
    <font>
      <sz val="11"/>
      <color theme="1"/>
      <name val="Aptos Narrow"/>
      <family val="2"/>
      <scheme val="minor"/>
    </font>
    <font>
      <sz val="10"/>
      <color indexed="8"/>
      <name val="MS Sans Serif"/>
    </font>
    <font>
      <b/>
      <sz val="14.05"/>
      <color indexed="8"/>
      <name val="Times New Roman"/>
      <family val="1"/>
    </font>
    <font>
      <sz val="11"/>
      <color theme="3"/>
      <name val="Aptos Narrow"/>
      <family val="2"/>
      <scheme val="minor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  <font>
      <sz val="10"/>
      <color indexed="8"/>
      <name val="MS Sans Serif"/>
      <family val="2"/>
    </font>
    <font>
      <sz val="10"/>
      <name val="Arial"/>
      <family val="2"/>
    </font>
    <font>
      <b/>
      <sz val="11"/>
      <color theme="3"/>
      <name val="Arial"/>
      <family val="2"/>
    </font>
    <font>
      <b/>
      <sz val="11"/>
      <color theme="1"/>
      <name val="Arial"/>
      <family val="2"/>
    </font>
    <font>
      <sz val="11"/>
      <color theme="3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 Narrow"/>
      <family val="2"/>
    </font>
    <font>
      <b/>
      <sz val="11"/>
      <color theme="0"/>
      <name val="Aptos Black"/>
      <family val="2"/>
    </font>
    <font>
      <b/>
      <sz val="12"/>
      <color theme="0"/>
      <name val="Aptos Black"/>
      <family val="2"/>
    </font>
    <font>
      <sz val="12"/>
      <color theme="0"/>
      <name val="Aptos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43" fontId="3" fillId="0" borderId="0" applyFont="0" applyFill="0" applyBorder="0" applyAlignment="0" applyProtection="0"/>
    <xf numFmtId="0" fontId="2" fillId="0" borderId="0"/>
    <xf numFmtId="0" fontId="8" fillId="0" borderId="0"/>
    <xf numFmtId="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01">
    <xf numFmtId="0" fontId="0" fillId="0" borderId="0" xfId="0"/>
    <xf numFmtId="43" fontId="5" fillId="2" borderId="4" xfId="1" applyFont="1" applyFill="1" applyBorder="1" applyAlignment="1" applyProtection="1"/>
    <xf numFmtId="43" fontId="5" fillId="2" borderId="5" xfId="1" applyFont="1" applyFill="1" applyBorder="1" applyAlignment="1" applyProtection="1"/>
    <xf numFmtId="0" fontId="4" fillId="0" borderId="0" xfId="0" applyFon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43" fontId="10" fillId="0" borderId="0" xfId="1" applyFont="1" applyFill="1" applyAlignment="1">
      <alignment horizontal="center"/>
    </xf>
    <xf numFmtId="0" fontId="5" fillId="0" borderId="0" xfId="0" applyFont="1"/>
    <xf numFmtId="0" fontId="11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justify" vertical="justify" wrapText="1"/>
    </xf>
    <xf numFmtId="4" fontId="6" fillId="0" borderId="2" xfId="0" applyNumberFormat="1" applyFont="1" applyBorder="1"/>
    <xf numFmtId="0" fontId="6" fillId="0" borderId="0" xfId="0" applyFont="1"/>
    <xf numFmtId="0" fontId="11" fillId="0" borderId="0" xfId="0" applyFont="1"/>
    <xf numFmtId="0" fontId="12" fillId="0" borderId="0" xfId="0" applyFont="1"/>
    <xf numFmtId="0" fontId="5" fillId="0" borderId="4" xfId="0" applyFont="1" applyBorder="1"/>
    <xf numFmtId="0" fontId="11" fillId="0" borderId="4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justify" vertical="justify" wrapText="1"/>
    </xf>
    <xf numFmtId="43" fontId="6" fillId="0" borderId="5" xfId="1" applyFont="1" applyFill="1" applyBorder="1" applyAlignment="1" applyProtection="1"/>
    <xf numFmtId="0" fontId="7" fillId="0" borderId="4" xfId="0" applyFont="1" applyBorder="1" applyAlignment="1">
      <alignment vertical="center"/>
    </xf>
    <xf numFmtId="0" fontId="5" fillId="0" borderId="4" xfId="0" applyFont="1" applyBorder="1" applyAlignment="1">
      <alignment horizontal="justify" vertical="justify" wrapText="1"/>
    </xf>
    <xf numFmtId="43" fontId="5" fillId="0" borderId="5" xfId="1" applyFont="1" applyFill="1" applyBorder="1" applyAlignment="1" applyProtection="1"/>
    <xf numFmtId="0" fontId="6" fillId="0" borderId="4" xfId="0" applyFont="1" applyBorder="1"/>
    <xf numFmtId="0" fontId="6" fillId="0" borderId="4" xfId="2" applyFont="1" applyBorder="1" applyAlignment="1">
      <alignment horizontal="center"/>
    </xf>
    <xf numFmtId="4" fontId="6" fillId="0" borderId="5" xfId="2" applyNumberFormat="1" applyFont="1" applyBorder="1" applyAlignment="1">
      <alignment horizontal="right" vertical="center"/>
    </xf>
    <xf numFmtId="0" fontId="5" fillId="0" borderId="5" xfId="0" applyFont="1" applyBorder="1"/>
    <xf numFmtId="0" fontId="11" fillId="0" borderId="4" xfId="2" applyFont="1" applyBorder="1" applyAlignment="1">
      <alignment horizontal="left" vertical="center"/>
    </xf>
    <xf numFmtId="0" fontId="5" fillId="0" borderId="4" xfId="2" applyFont="1" applyBorder="1" applyAlignment="1">
      <alignment horizontal="center" vertical="center"/>
    </xf>
    <xf numFmtId="4" fontId="5" fillId="0" borderId="4" xfId="2" applyNumberFormat="1" applyFont="1" applyBorder="1"/>
    <xf numFmtId="0" fontId="11" fillId="0" borderId="4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4" fontId="6" fillId="0" borderId="5" xfId="2" applyNumberFormat="1" applyFont="1" applyBorder="1" applyAlignment="1">
      <alignment horizontal="center" vertical="center"/>
    </xf>
    <xf numFmtId="4" fontId="5" fillId="0" borderId="5" xfId="2" applyNumberFormat="1" applyFont="1" applyBorder="1"/>
    <xf numFmtId="0" fontId="11" fillId="0" borderId="4" xfId="2" applyFont="1" applyBorder="1" applyAlignment="1">
      <alignment vertical="center"/>
    </xf>
    <xf numFmtId="0" fontId="6" fillId="0" borderId="4" xfId="2" applyFont="1" applyBorder="1" applyAlignment="1">
      <alignment vertical="center"/>
    </xf>
    <xf numFmtId="49" fontId="11" fillId="0" borderId="4" xfId="2" applyNumberFormat="1" applyFont="1" applyBorder="1" applyAlignment="1">
      <alignment vertical="center"/>
    </xf>
    <xf numFmtId="49" fontId="5" fillId="0" borderId="4" xfId="2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justify" vertical="justify" wrapText="1"/>
    </xf>
    <xf numFmtId="0" fontId="6" fillId="0" borderId="4" xfId="0" applyFont="1" applyBorder="1" applyAlignment="1">
      <alignment horizontal="center" vertical="center"/>
    </xf>
    <xf numFmtId="49" fontId="11" fillId="0" borderId="4" xfId="0" applyNumberFormat="1" applyFont="1" applyBorder="1" applyAlignment="1">
      <alignment horizontal="left" vertical="center"/>
    </xf>
    <xf numFmtId="49" fontId="5" fillId="0" borderId="4" xfId="0" applyNumberFormat="1" applyFont="1" applyBorder="1" applyAlignment="1">
      <alignment horizontal="center" vertical="center"/>
    </xf>
    <xf numFmtId="0" fontId="6" fillId="0" borderId="4" xfId="2" applyFont="1" applyBorder="1" applyAlignment="1">
      <alignment vertical="center" wrapText="1"/>
    </xf>
    <xf numFmtId="0" fontId="11" fillId="0" borderId="4" xfId="0" applyFont="1" applyBorder="1" applyAlignment="1">
      <alignment horizontal="left" vertical="center"/>
    </xf>
    <xf numFmtId="0" fontId="7" fillId="0" borderId="4" xfId="0" applyFont="1" applyBorder="1"/>
    <xf numFmtId="0" fontId="5" fillId="0" borderId="4" xfId="0" applyFont="1" applyBorder="1" applyAlignment="1">
      <alignment horizontal="center"/>
    </xf>
    <xf numFmtId="4" fontId="6" fillId="0" borderId="4" xfId="2" applyNumberFormat="1" applyFont="1" applyBorder="1" applyAlignment="1">
      <alignment horizontal="center" vertical="center"/>
    </xf>
    <xf numFmtId="49" fontId="14" fillId="0" borderId="4" xfId="0" applyNumberFormat="1" applyFont="1" applyBorder="1" applyAlignment="1">
      <alignment horizontal="center" vertical="center"/>
    </xf>
    <xf numFmtId="0" fontId="6" fillId="0" borderId="4" xfId="2" applyFont="1" applyBorder="1"/>
    <xf numFmtId="1" fontId="11" fillId="0" borderId="4" xfId="3" applyNumberFormat="1" applyFont="1" applyBorder="1" applyAlignment="1">
      <alignment horizontal="left"/>
    </xf>
    <xf numFmtId="4" fontId="11" fillId="0" borderId="5" xfId="3" applyNumberFormat="1" applyFont="1" applyBorder="1"/>
    <xf numFmtId="0" fontId="7" fillId="0" borderId="0" xfId="0" applyFont="1"/>
    <xf numFmtId="3" fontId="6" fillId="0" borderId="4" xfId="4" applyFont="1" applyFill="1" applyBorder="1" applyAlignment="1" applyProtection="1"/>
    <xf numFmtId="3" fontId="6" fillId="0" borderId="5" xfId="4" applyFont="1" applyFill="1" applyBorder="1" applyAlignment="1" applyProtection="1"/>
    <xf numFmtId="1" fontId="11" fillId="0" borderId="4" xfId="2" applyNumberFormat="1" applyFont="1" applyBorder="1" applyAlignment="1">
      <alignment horizontal="center" vertical="center"/>
    </xf>
    <xf numFmtId="1" fontId="5" fillId="0" borderId="4" xfId="2" applyNumberFormat="1" applyFont="1" applyBorder="1" applyAlignment="1">
      <alignment horizontal="center" vertical="center"/>
    </xf>
    <xf numFmtId="3" fontId="6" fillId="0" borderId="5" xfId="2" applyNumberFormat="1" applyFont="1" applyBorder="1" applyAlignment="1">
      <alignment horizontal="center" vertical="center" wrapText="1"/>
    </xf>
    <xf numFmtId="1" fontId="11" fillId="0" borderId="4" xfId="0" applyNumberFormat="1" applyFont="1" applyBorder="1" applyAlignment="1">
      <alignment horizontal="left" vertical="center"/>
    </xf>
    <xf numFmtId="1" fontId="6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43" fontId="6" fillId="0" borderId="5" xfId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left" vertical="center"/>
    </xf>
    <xf numFmtId="1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43" fontId="5" fillId="0" borderId="5" xfId="1" applyFont="1" applyFill="1" applyBorder="1" applyAlignment="1">
      <alignment horizontal="center" vertical="center" wrapText="1"/>
    </xf>
    <xf numFmtId="43" fontId="5" fillId="0" borderId="5" xfId="1" applyFont="1" applyFill="1" applyBorder="1" applyAlignment="1">
      <alignment horizontal="right" vertical="center" wrapText="1"/>
    </xf>
    <xf numFmtId="0" fontId="14" fillId="0" borderId="4" xfId="0" applyFont="1" applyBorder="1" applyAlignment="1">
      <alignment horizontal="center"/>
    </xf>
    <xf numFmtId="0" fontId="14" fillId="0" borderId="4" xfId="0" applyFont="1" applyBorder="1" applyAlignment="1">
      <alignment horizontal="justify" wrapText="1"/>
    </xf>
    <xf numFmtId="43" fontId="14" fillId="0" borderId="5" xfId="1" applyFont="1" applyFill="1" applyBorder="1" applyAlignment="1"/>
    <xf numFmtId="4" fontId="13" fillId="0" borderId="4" xfId="2" applyNumberFormat="1" applyFont="1" applyBorder="1" applyAlignment="1">
      <alignment horizontal="center"/>
    </xf>
    <xf numFmtId="43" fontId="13" fillId="0" borderId="5" xfId="1" applyFont="1" applyFill="1" applyBorder="1"/>
    <xf numFmtId="1" fontId="11" fillId="0" borderId="4" xfId="2" applyNumberFormat="1" applyFont="1" applyBorder="1" applyAlignment="1">
      <alignment horizontal="left"/>
    </xf>
    <xf numFmtId="1" fontId="14" fillId="0" borderId="4" xfId="2" applyNumberFormat="1" applyFont="1" applyBorder="1" applyAlignment="1">
      <alignment horizontal="center"/>
    </xf>
    <xf numFmtId="4" fontId="13" fillId="0" borderId="5" xfId="2" applyNumberFormat="1" applyFont="1" applyBorder="1"/>
    <xf numFmtId="4" fontId="6" fillId="0" borderId="4" xfId="4" applyNumberFormat="1" applyFont="1" applyFill="1" applyBorder="1" applyAlignment="1" applyProtection="1"/>
    <xf numFmtId="4" fontId="6" fillId="0" borderId="5" xfId="4" applyNumberFormat="1" applyFont="1" applyFill="1" applyBorder="1" applyAlignment="1" applyProtection="1"/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vertical="justify" wrapText="1"/>
    </xf>
    <xf numFmtId="43" fontId="13" fillId="0" borderId="5" xfId="5" applyFont="1" applyFill="1" applyBorder="1" applyAlignment="1"/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vertical="justify" wrapText="1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/>
    </xf>
    <xf numFmtId="43" fontId="13" fillId="0" borderId="5" xfId="1" applyFont="1" applyFill="1" applyBorder="1" applyAlignment="1">
      <alignment horizontal="right" vertical="center"/>
    </xf>
    <xf numFmtId="0" fontId="14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center"/>
    </xf>
    <xf numFmtId="43" fontId="14" fillId="0" borderId="5" xfId="1" applyFont="1" applyFill="1" applyBorder="1" applyAlignment="1">
      <alignment horizontal="right" vertical="center"/>
    </xf>
    <xf numFmtId="0" fontId="14" fillId="0" borderId="4" xfId="0" applyFont="1" applyBorder="1" applyAlignment="1">
      <alignment horizontal="left"/>
    </xf>
    <xf numFmtId="0" fontId="14" fillId="0" borderId="4" xfId="0" applyFont="1" applyBorder="1" applyAlignment="1">
      <alignment horizontal="left" vertical="justify" wrapText="1"/>
    </xf>
    <xf numFmtId="167" fontId="14" fillId="0" borderId="5" xfId="1" applyNumberFormat="1" applyFont="1" applyFill="1" applyBorder="1" applyAlignment="1">
      <alignment horizontal="right" vertical="center"/>
    </xf>
    <xf numFmtId="167" fontId="13" fillId="0" borderId="5" xfId="1" applyNumberFormat="1" applyFont="1" applyFill="1" applyBorder="1" applyAlignment="1">
      <alignment horizontal="right" vertical="center"/>
    </xf>
    <xf numFmtId="0" fontId="14" fillId="0" borderId="4" xfId="0" applyFont="1" applyBorder="1" applyAlignment="1">
      <alignment vertical="center"/>
    </xf>
    <xf numFmtId="0" fontId="11" fillId="0" borderId="4" xfId="0" applyFont="1" applyBorder="1" applyAlignment="1">
      <alignment horizontal="center" wrapText="1"/>
    </xf>
    <xf numFmtId="43" fontId="11" fillId="0" borderId="5" xfId="5" applyFont="1" applyFill="1" applyBorder="1" applyAlignment="1"/>
    <xf numFmtId="43" fontId="14" fillId="0" borderId="5" xfId="5" applyFont="1" applyFill="1" applyBorder="1" applyAlignment="1"/>
    <xf numFmtId="168" fontId="11" fillId="0" borderId="4" xfId="0" applyNumberFormat="1" applyFont="1" applyBorder="1"/>
    <xf numFmtId="168" fontId="7" fillId="0" borderId="4" xfId="0" applyNumberFormat="1" applyFont="1" applyBorder="1" applyAlignment="1">
      <alignment horizontal="center"/>
    </xf>
    <xf numFmtId="168" fontId="11" fillId="0" borderId="4" xfId="0" applyNumberFormat="1" applyFont="1" applyBorder="1" applyAlignment="1">
      <alignment wrapText="1"/>
    </xf>
    <xf numFmtId="4" fontId="11" fillId="0" borderId="5" xfId="7" applyNumberFormat="1" applyFont="1" applyFill="1" applyBorder="1"/>
    <xf numFmtId="168" fontId="7" fillId="0" borderId="4" xfId="0" applyNumberFormat="1" applyFont="1" applyBorder="1"/>
    <xf numFmtId="168" fontId="5" fillId="0" borderId="4" xfId="0" applyNumberFormat="1" applyFont="1" applyBorder="1" applyAlignment="1">
      <alignment wrapText="1"/>
    </xf>
    <xf numFmtId="4" fontId="5" fillId="0" borderId="5" xfId="7" applyNumberFormat="1" applyFont="1" applyFill="1" applyBorder="1"/>
    <xf numFmtId="168" fontId="11" fillId="0" borderId="4" xfId="0" applyNumberFormat="1" applyFont="1" applyBorder="1" applyAlignment="1">
      <alignment horizontal="center"/>
    </xf>
    <xf numFmtId="168" fontId="6" fillId="0" borderId="4" xfId="0" applyNumberFormat="1" applyFont="1" applyBorder="1" applyAlignment="1">
      <alignment wrapText="1"/>
    </xf>
    <xf numFmtId="4" fontId="6" fillId="0" borderId="5" xfId="7" applyNumberFormat="1" applyFont="1" applyFill="1" applyBorder="1"/>
    <xf numFmtId="0" fontId="13" fillId="0" borderId="4" xfId="0" applyFont="1" applyBorder="1" applyAlignment="1">
      <alignment horizontal="center" wrapText="1"/>
    </xf>
    <xf numFmtId="0" fontId="13" fillId="0" borderId="4" xfId="0" applyFont="1" applyBorder="1" applyAlignment="1">
      <alignment horizontal="justify" wrapText="1"/>
    </xf>
    <xf numFmtId="0" fontId="11" fillId="0" borderId="4" xfId="0" applyFont="1" applyBorder="1" applyAlignment="1">
      <alignment horizontal="left" wrapText="1"/>
    </xf>
    <xf numFmtId="0" fontId="7" fillId="0" borderId="4" xfId="0" applyFont="1" applyBorder="1" applyAlignment="1">
      <alignment horizontal="left" wrapText="1"/>
    </xf>
    <xf numFmtId="49" fontId="11" fillId="0" borderId="4" xfId="5" applyNumberFormat="1" applyFont="1" applyFill="1" applyBorder="1" applyAlignment="1">
      <alignment horizontal="left" wrapText="1"/>
    </xf>
    <xf numFmtId="43" fontId="13" fillId="0" borderId="4" xfId="5" applyFont="1" applyFill="1" applyBorder="1" applyAlignment="1">
      <alignment horizontal="left" wrapText="1"/>
    </xf>
    <xf numFmtId="39" fontId="14" fillId="0" borderId="5" xfId="1" applyNumberFormat="1" applyFont="1" applyFill="1" applyBorder="1" applyAlignment="1">
      <alignment horizontal="right" vertical="center" wrapText="1"/>
    </xf>
    <xf numFmtId="49" fontId="7" fillId="0" borderId="4" xfId="5" applyNumberFormat="1" applyFont="1" applyFill="1" applyBorder="1" applyAlignment="1">
      <alignment horizontal="left" wrapText="1"/>
    </xf>
    <xf numFmtId="43" fontId="14" fillId="0" borderId="4" xfId="5" applyFont="1" applyFill="1" applyBorder="1" applyAlignment="1">
      <alignment horizontal="left" wrapText="1"/>
    </xf>
    <xf numFmtId="4" fontId="11" fillId="0" borderId="5" xfId="8" applyNumberFormat="1" applyFont="1" applyFill="1" applyBorder="1" applyAlignment="1">
      <alignment horizontal="right" vertical="center"/>
    </xf>
    <xf numFmtId="2" fontId="6" fillId="0" borderId="5" xfId="8" applyNumberFormat="1" applyFont="1" applyFill="1" applyBorder="1" applyAlignment="1">
      <alignment horizontal="right" vertical="center" wrapText="1"/>
    </xf>
    <xf numFmtId="0" fontId="11" fillId="0" borderId="4" xfId="0" applyFont="1" applyBorder="1" applyAlignment="1">
      <alignment horizontal="justify" vertical="center" wrapText="1"/>
    </xf>
    <xf numFmtId="0" fontId="7" fillId="0" borderId="4" xfId="0" applyFont="1" applyBorder="1" applyAlignment="1">
      <alignment horizontal="left" vertical="center" wrapText="1"/>
    </xf>
    <xf numFmtId="4" fontId="7" fillId="0" borderId="5" xfId="8" applyNumberFormat="1" applyFont="1" applyFill="1" applyBorder="1" applyAlignment="1">
      <alignment horizontal="right" vertical="center"/>
    </xf>
    <xf numFmtId="4" fontId="15" fillId="0" borderId="5" xfId="6" applyNumberFormat="1" applyFont="1" applyFill="1" applyBorder="1" applyAlignment="1">
      <alignment horizontal="right" vertical="center"/>
    </xf>
    <xf numFmtId="0" fontId="11" fillId="0" borderId="4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5" fillId="0" borderId="6" xfId="0" applyFont="1" applyBorder="1"/>
    <xf numFmtId="0" fontId="13" fillId="0" borderId="6" xfId="0" applyFont="1" applyBorder="1" applyAlignment="1">
      <alignment horizontal="center" wrapText="1"/>
    </xf>
    <xf numFmtId="43" fontId="13" fillId="0" borderId="10" xfId="5" applyFont="1" applyFill="1" applyBorder="1" applyAlignment="1"/>
    <xf numFmtId="43" fontId="5" fillId="0" borderId="4" xfId="1" applyFont="1" applyFill="1" applyBorder="1" applyAlignment="1" applyProtection="1"/>
    <xf numFmtId="0" fontId="6" fillId="0" borderId="4" xfId="3" applyFont="1" applyBorder="1"/>
    <xf numFmtId="4" fontId="6" fillId="0" borderId="4" xfId="2" applyNumberFormat="1" applyFont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justify" vertical="justify" wrapText="1"/>
    </xf>
    <xf numFmtId="43" fontId="6" fillId="0" borderId="0" xfId="1" applyFont="1" applyFill="1" applyBorder="1" applyAlignment="1" applyProtection="1"/>
    <xf numFmtId="43" fontId="5" fillId="0" borderId="0" xfId="1" applyFont="1" applyFill="1" applyBorder="1" applyAlignment="1" applyProtection="1"/>
    <xf numFmtId="0" fontId="16" fillId="0" borderId="9" xfId="2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7" fillId="0" borderId="9" xfId="2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3" fontId="0" fillId="0" borderId="0" xfId="1" applyFont="1"/>
    <xf numFmtId="166" fontId="0" fillId="0" borderId="0" xfId="1" applyNumberFormat="1" applyFont="1"/>
    <xf numFmtId="166" fontId="0" fillId="0" borderId="0" xfId="0" applyNumberFormat="1"/>
    <xf numFmtId="168" fontId="7" fillId="0" borderId="4" xfId="0" applyNumberFormat="1" applyFont="1" applyBorder="1" applyAlignment="1">
      <alignment wrapText="1"/>
    </xf>
    <xf numFmtId="4" fontId="7" fillId="0" borderId="5" xfId="7" applyNumberFormat="1" applyFont="1" applyFill="1" applyBorder="1"/>
    <xf numFmtId="43" fontId="0" fillId="0" borderId="0" xfId="0" applyNumberFormat="1"/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43" fontId="5" fillId="3" borderId="4" xfId="1" applyFont="1" applyFill="1" applyBorder="1" applyAlignment="1" applyProtection="1"/>
    <xf numFmtId="43" fontId="6" fillId="3" borderId="3" xfId="1" applyFont="1" applyFill="1" applyBorder="1" applyAlignment="1" applyProtection="1"/>
    <xf numFmtId="43" fontId="6" fillId="3" borderId="4" xfId="1" applyFont="1" applyFill="1" applyBorder="1" applyAlignment="1" applyProtection="1"/>
    <xf numFmtId="4" fontId="6" fillId="3" borderId="5" xfId="2" applyNumberFormat="1" applyFont="1" applyFill="1" applyBorder="1" applyAlignment="1">
      <alignment horizontal="right" vertical="center"/>
    </xf>
    <xf numFmtId="0" fontId="5" fillId="3" borderId="5" xfId="0" applyFont="1" applyFill="1" applyBorder="1"/>
    <xf numFmtId="4" fontId="6" fillId="3" borderId="5" xfId="2" applyNumberFormat="1" applyFont="1" applyFill="1" applyBorder="1" applyAlignment="1">
      <alignment horizontal="center" vertical="center"/>
    </xf>
    <xf numFmtId="43" fontId="6" fillId="3" borderId="5" xfId="1" applyFont="1" applyFill="1" applyBorder="1" applyAlignment="1" applyProtection="1"/>
    <xf numFmtId="43" fontId="5" fillId="3" borderId="5" xfId="1" applyFont="1" applyFill="1" applyBorder="1" applyAlignment="1" applyProtection="1"/>
    <xf numFmtId="4" fontId="5" fillId="3" borderId="5" xfId="2" applyNumberFormat="1" applyFont="1" applyFill="1" applyBorder="1"/>
    <xf numFmtId="4" fontId="11" fillId="3" borderId="5" xfId="3" applyNumberFormat="1" applyFont="1" applyFill="1" applyBorder="1"/>
    <xf numFmtId="3" fontId="6" fillId="3" borderId="5" xfId="4" applyFont="1" applyFill="1" applyBorder="1" applyAlignment="1" applyProtection="1"/>
    <xf numFmtId="3" fontId="6" fillId="3" borderId="5" xfId="2" applyNumberFormat="1" applyFont="1" applyFill="1" applyBorder="1" applyAlignment="1">
      <alignment horizontal="center" vertical="center" wrapText="1"/>
    </xf>
    <xf numFmtId="43" fontId="6" fillId="3" borderId="5" xfId="1" applyFont="1" applyFill="1" applyBorder="1" applyAlignment="1">
      <alignment horizontal="center" vertical="center" wrapText="1"/>
    </xf>
    <xf numFmtId="43" fontId="5" fillId="3" borderId="5" xfId="1" applyFont="1" applyFill="1" applyBorder="1" applyAlignment="1">
      <alignment horizontal="right" vertical="center" wrapText="1"/>
    </xf>
    <xf numFmtId="43" fontId="13" fillId="3" borderId="5" xfId="1" applyFont="1" applyFill="1" applyBorder="1"/>
    <xf numFmtId="4" fontId="13" fillId="3" borderId="5" xfId="2" applyNumberFormat="1" applyFont="1" applyFill="1" applyBorder="1"/>
    <xf numFmtId="4" fontId="6" fillId="3" borderId="5" xfId="4" applyNumberFormat="1" applyFont="1" applyFill="1" applyBorder="1" applyAlignment="1" applyProtection="1"/>
    <xf numFmtId="43" fontId="13" fillId="3" borderId="5" xfId="5" applyFont="1" applyFill="1" applyBorder="1" applyAlignment="1"/>
    <xf numFmtId="43" fontId="13" fillId="3" borderId="5" xfId="1" applyFont="1" applyFill="1" applyBorder="1" applyAlignment="1">
      <alignment horizontal="right" vertical="center"/>
    </xf>
    <xf numFmtId="43" fontId="14" fillId="3" borderId="5" xfId="1" applyFont="1" applyFill="1" applyBorder="1" applyAlignment="1">
      <alignment horizontal="right" vertical="center"/>
    </xf>
    <xf numFmtId="167" fontId="14" fillId="3" borderId="5" xfId="1" applyNumberFormat="1" applyFont="1" applyFill="1" applyBorder="1" applyAlignment="1">
      <alignment horizontal="right" vertical="center"/>
    </xf>
    <xf numFmtId="167" fontId="13" fillId="3" borderId="5" xfId="1" applyNumberFormat="1" applyFont="1" applyFill="1" applyBorder="1" applyAlignment="1">
      <alignment horizontal="right" vertical="center"/>
    </xf>
    <xf numFmtId="43" fontId="11" fillId="3" borderId="5" xfId="5" applyFont="1" applyFill="1" applyBorder="1" applyAlignment="1"/>
    <xf numFmtId="43" fontId="14" fillId="3" borderId="5" xfId="5" applyFont="1" applyFill="1" applyBorder="1" applyAlignment="1"/>
    <xf numFmtId="4" fontId="11" fillId="3" borderId="5" xfId="7" applyNumberFormat="1" applyFont="1" applyFill="1" applyBorder="1"/>
    <xf numFmtId="4" fontId="6" fillId="3" borderId="5" xfId="7" applyNumberFormat="1" applyFont="1" applyFill="1" applyBorder="1"/>
    <xf numFmtId="39" fontId="14" fillId="3" borderId="5" xfId="1" applyNumberFormat="1" applyFont="1" applyFill="1" applyBorder="1" applyAlignment="1">
      <alignment horizontal="right" vertical="center" wrapText="1"/>
    </xf>
    <xf numFmtId="4" fontId="11" fillId="3" borderId="5" xfId="8" applyNumberFormat="1" applyFont="1" applyFill="1" applyBorder="1" applyAlignment="1">
      <alignment horizontal="right" vertical="center"/>
    </xf>
    <xf numFmtId="2" fontId="6" fillId="3" borderId="5" xfId="8" applyNumberFormat="1" applyFont="1" applyFill="1" applyBorder="1" applyAlignment="1">
      <alignment horizontal="right" vertical="center" wrapText="1"/>
    </xf>
    <xf numFmtId="4" fontId="7" fillId="3" borderId="5" xfId="8" applyNumberFormat="1" applyFont="1" applyFill="1" applyBorder="1" applyAlignment="1">
      <alignment horizontal="right" vertical="center"/>
    </xf>
    <xf numFmtId="43" fontId="13" fillId="3" borderId="10" xfId="5" applyFont="1" applyFill="1" applyBorder="1" applyAlignment="1"/>
    <xf numFmtId="4" fontId="6" fillId="3" borderId="4" xfId="2" applyNumberFormat="1" applyFont="1" applyFill="1" applyBorder="1"/>
    <xf numFmtId="43" fontId="5" fillId="3" borderId="5" xfId="1" applyFont="1" applyFill="1" applyBorder="1" applyAlignment="1">
      <alignment horizontal="center" vertical="center" wrapText="1"/>
    </xf>
    <xf numFmtId="43" fontId="6" fillId="3" borderId="5" xfId="1" applyFont="1" applyFill="1" applyBorder="1" applyAlignment="1">
      <alignment horizontal="right" vertical="center" wrapText="1"/>
    </xf>
    <xf numFmtId="0" fontId="13" fillId="0" borderId="4" xfId="0" applyFont="1" applyBorder="1" applyAlignment="1">
      <alignment horizontal="center"/>
    </xf>
    <xf numFmtId="0" fontId="18" fillId="0" borderId="8" xfId="0" applyFont="1" applyBorder="1" applyAlignment="1">
      <alignment horizontal="center" vertical="center"/>
    </xf>
    <xf numFmtId="0" fontId="5" fillId="0" borderId="4" xfId="2" applyFont="1" applyBorder="1" applyAlignment="1">
      <alignment horizontal="center"/>
    </xf>
    <xf numFmtId="0" fontId="5" fillId="0" borderId="4" xfId="2" applyFont="1" applyBorder="1"/>
    <xf numFmtId="1" fontId="7" fillId="0" borderId="4" xfId="3" applyNumberFormat="1" applyFont="1" applyBorder="1" applyAlignment="1">
      <alignment horizontal="left"/>
    </xf>
    <xf numFmtId="3" fontId="5" fillId="0" borderId="4" xfId="4" applyFont="1" applyFill="1" applyBorder="1" applyAlignment="1" applyProtection="1"/>
    <xf numFmtId="4" fontId="14" fillId="0" borderId="4" xfId="2" applyNumberFormat="1" applyFont="1" applyBorder="1" applyAlignment="1">
      <alignment horizontal="center"/>
    </xf>
    <xf numFmtId="4" fontId="5" fillId="0" borderId="4" xfId="4" applyNumberFormat="1" applyFont="1" applyFill="1" applyBorder="1" applyAlignment="1" applyProtection="1"/>
    <xf numFmtId="0" fontId="7" fillId="0" borderId="4" xfId="0" applyFont="1" applyBorder="1" applyAlignment="1">
      <alignment horizontal="center" wrapText="1"/>
    </xf>
    <xf numFmtId="0" fontId="14" fillId="0" borderId="4" xfId="0" applyFont="1" applyBorder="1" applyAlignment="1">
      <alignment horizontal="center" wrapText="1"/>
    </xf>
    <xf numFmtId="0" fontId="14" fillId="0" borderId="6" xfId="0" applyFont="1" applyBorder="1" applyAlignment="1">
      <alignment horizontal="center" wrapText="1"/>
    </xf>
    <xf numFmtId="0" fontId="5" fillId="0" borderId="4" xfId="3" applyFont="1" applyBorder="1"/>
    <xf numFmtId="39" fontId="13" fillId="3" borderId="5" xfId="1" applyNumberFormat="1" applyFont="1" applyFill="1" applyBorder="1" applyAlignment="1">
      <alignment horizontal="right" vertical="center" wrapText="1"/>
    </xf>
    <xf numFmtId="43" fontId="4" fillId="0" borderId="0" xfId="0" applyNumberFormat="1" applyFont="1"/>
    <xf numFmtId="4" fontId="4" fillId="0" borderId="0" xfId="0" applyNumberFormat="1" applyFont="1"/>
    <xf numFmtId="0" fontId="10" fillId="0" borderId="0" xfId="0" applyFont="1" applyAlignment="1">
      <alignment horizontal="center"/>
    </xf>
    <xf numFmtId="11" fontId="5" fillId="0" borderId="0" xfId="1" applyNumberFormat="1" applyFont="1" applyFill="1" applyBorder="1" applyAlignment="1" applyProtection="1"/>
  </cellXfs>
  <cellStyles count="9">
    <cellStyle name="Millares" xfId="1" builtinId="3"/>
    <cellStyle name="Millares [0] 2" xfId="6" xr:uid="{00000000-0005-0000-0000-000001000000}"/>
    <cellStyle name="Millares [0] 2 2" xfId="8" xr:uid="{00000000-0005-0000-0000-000002000000}"/>
    <cellStyle name="Millares [0]_ppto-2000" xfId="4" xr:uid="{00000000-0005-0000-0000-000003000000}"/>
    <cellStyle name="Millares 3" xfId="5" xr:uid="{00000000-0005-0000-0000-000004000000}"/>
    <cellStyle name="Moneda 2" xfId="7" xr:uid="{00000000-0005-0000-0000-000005000000}"/>
    <cellStyle name="Normal" xfId="0" builtinId="0"/>
    <cellStyle name="Normal 4" xfId="2" xr:uid="{00000000-0005-0000-0000-000007000000}"/>
    <cellStyle name="Normal_PROYECTOPRESUPUESTO2004(1)" xfId="3" xr:uid="{00000000-0005-0000-0000-000008000000}"/>
  </cellStyles>
  <dxfs count="84">
    <dxf>
      <font>
        <b/>
        <i val="0"/>
        <color theme="0"/>
      </font>
      <fill>
        <patternFill>
          <bgColor rgb="FF658393"/>
        </patternFill>
      </fill>
    </dxf>
    <dxf>
      <font>
        <b/>
        <i val="0"/>
        <color theme="0"/>
      </font>
      <fill>
        <patternFill>
          <bgColor rgb="FF6F8D9D"/>
        </patternFill>
      </fill>
    </dxf>
    <dxf>
      <font>
        <b/>
        <i val="0"/>
        <color theme="0"/>
      </font>
      <fill>
        <patternFill>
          <bgColor rgb="FF7897A7"/>
        </patternFill>
      </fill>
    </dxf>
    <dxf>
      <font>
        <b/>
        <i val="0"/>
        <color theme="0"/>
      </font>
      <fill>
        <patternFill>
          <bgColor rgb="FF82A1B1"/>
        </patternFill>
      </fill>
    </dxf>
    <dxf>
      <font>
        <b/>
        <i val="0"/>
        <color theme="0"/>
      </font>
      <fill>
        <patternFill>
          <bgColor rgb="FF8CABBB"/>
        </patternFill>
      </fill>
    </dxf>
    <dxf>
      <font>
        <b/>
        <i val="0"/>
        <color theme="0"/>
      </font>
      <fill>
        <patternFill>
          <bgColor rgb="FF96B5C6"/>
        </patternFill>
      </fill>
    </dxf>
    <dxf>
      <font>
        <b val="0"/>
        <i val="0"/>
      </font>
      <fill>
        <patternFill>
          <bgColor rgb="FFC0CFD7"/>
        </patternFill>
      </fill>
    </dxf>
    <dxf>
      <fill>
        <patternFill>
          <bgColor rgb="FFD5DFE4"/>
        </patternFill>
      </fill>
    </dxf>
    <dxf>
      <font>
        <b val="0"/>
        <i val="0"/>
        <color auto="1"/>
      </font>
      <fill>
        <patternFill>
          <bgColor rgb="FFEAEFF2"/>
        </patternFill>
      </fill>
    </dxf>
    <dxf>
      <font>
        <b/>
        <i val="0"/>
        <color theme="0"/>
      </font>
      <fill>
        <patternFill>
          <bgColor rgb="FF658393"/>
        </patternFill>
      </fill>
    </dxf>
    <dxf>
      <font>
        <b/>
        <i val="0"/>
        <color theme="0"/>
      </font>
      <fill>
        <patternFill>
          <bgColor rgb="FF6F8D9D"/>
        </patternFill>
      </fill>
    </dxf>
    <dxf>
      <font>
        <b/>
        <i val="0"/>
        <color theme="0"/>
      </font>
      <fill>
        <patternFill>
          <bgColor rgb="FF7897A7"/>
        </patternFill>
      </fill>
    </dxf>
    <dxf>
      <font>
        <b/>
        <i val="0"/>
        <color theme="0"/>
      </font>
      <fill>
        <patternFill>
          <bgColor rgb="FF82A1B1"/>
        </patternFill>
      </fill>
    </dxf>
    <dxf>
      <font>
        <b/>
        <i val="0"/>
        <color theme="0"/>
      </font>
      <fill>
        <patternFill>
          <bgColor rgb="FF8CABBB"/>
        </patternFill>
      </fill>
    </dxf>
    <dxf>
      <font>
        <b/>
        <i val="0"/>
        <color theme="0"/>
      </font>
      <fill>
        <patternFill>
          <bgColor rgb="FF96B5C6"/>
        </patternFill>
      </fill>
    </dxf>
    <dxf>
      <font>
        <b val="0"/>
        <i val="0"/>
      </font>
      <fill>
        <patternFill>
          <bgColor rgb="FFC0CFD7"/>
        </patternFill>
      </fill>
    </dxf>
    <dxf>
      <fill>
        <patternFill>
          <bgColor rgb="FFD5DFE4"/>
        </patternFill>
      </fill>
    </dxf>
    <dxf>
      <font>
        <b val="0"/>
        <i val="0"/>
        <color auto="1"/>
      </font>
      <fill>
        <patternFill>
          <bgColor rgb="FFEAEFF2"/>
        </patternFill>
      </fill>
    </dxf>
    <dxf>
      <font>
        <b/>
        <i val="0"/>
        <color theme="0"/>
      </font>
      <fill>
        <patternFill>
          <bgColor rgb="FF658393"/>
        </patternFill>
      </fill>
    </dxf>
    <dxf>
      <font>
        <b/>
        <i val="0"/>
        <color theme="0"/>
      </font>
      <fill>
        <patternFill>
          <bgColor rgb="FF6F8D9D"/>
        </patternFill>
      </fill>
    </dxf>
    <dxf>
      <font>
        <b/>
        <i val="0"/>
        <color theme="0"/>
      </font>
      <fill>
        <patternFill>
          <bgColor rgb="FF7897A7"/>
        </patternFill>
      </fill>
    </dxf>
    <dxf>
      <font>
        <b/>
        <i val="0"/>
        <color theme="0"/>
      </font>
      <fill>
        <patternFill>
          <bgColor rgb="FF82A1B1"/>
        </patternFill>
      </fill>
    </dxf>
    <dxf>
      <font>
        <b/>
        <i val="0"/>
        <color theme="0"/>
      </font>
      <fill>
        <patternFill>
          <bgColor rgb="FF8CABBB"/>
        </patternFill>
      </fill>
    </dxf>
    <dxf>
      <font>
        <b/>
        <i val="0"/>
        <color theme="0"/>
      </font>
      <fill>
        <patternFill>
          <bgColor rgb="FF96B5C6"/>
        </patternFill>
      </fill>
    </dxf>
    <dxf>
      <font>
        <b val="0"/>
        <i val="0"/>
      </font>
      <fill>
        <patternFill>
          <bgColor rgb="FFC0CFD7"/>
        </patternFill>
      </fill>
    </dxf>
    <dxf>
      <fill>
        <patternFill>
          <bgColor rgb="FFD5DFE4"/>
        </patternFill>
      </fill>
    </dxf>
    <dxf>
      <font>
        <b val="0"/>
        <i val="0"/>
        <color auto="1"/>
      </font>
      <fill>
        <patternFill>
          <bgColor rgb="FFEAEFF2"/>
        </patternFill>
      </fill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font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top style="medium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0"/>
        <name val="Aptos Black"/>
        <family val="2"/>
        <scheme val="none"/>
      </font>
      <fill>
        <patternFill patternType="none">
          <fgColor indexed="64"/>
          <bgColor auto="1"/>
        </patternFill>
      </fill>
    </dxf>
    <dxf>
      <font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top style="medium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0"/>
        <name val="Aptos Black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0"/>
        <name val="Aptos Black"/>
        <family val="2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n borrero" refreshedDate="46046.483127893516" createdVersion="8" refreshedVersion="8" minRefreshableVersion="3" recordCount="805" xr:uid="{59C2752E-C636-4894-BE4E-39712EA5A478}">
  <cacheSource type="worksheet">
    <worksheetSource name="Tabla1"/>
  </cacheSource>
  <cacheFields count="10">
    <cacheField name="NIVEL" numFmtId="0">
      <sharedItems containsBlank="1" count="3">
        <m/>
        <s v="AC"/>
        <s v="EP"/>
      </sharedItems>
    </cacheField>
    <cacheField name="ORGANO EJECUTOR" numFmtId="0">
      <sharedItems containsBlank="1" count="14">
        <m/>
        <s v="DESPACHO Y SECRETARIAS"/>
        <s v="FONDO EDUCACION"/>
        <s v="FONDO SALUD"/>
        <s v="FONDO SEGURIDAD"/>
        <s v="FONDO EDUCACION SUPERIOR"/>
        <s v="FONDO PENSIONES"/>
        <s v="IDERMETA"/>
        <s v="INSTITUTO CULTURA"/>
        <s v="INST ITUTO TURISMO"/>
        <s v="INSTITUTO TRANSITO"/>
        <s v="UNIDAD LICORES"/>
        <s v="CASA CULTURA"/>
        <s v="AIM"/>
      </sharedItems>
    </cacheField>
    <cacheField name="SUBCUENTA" numFmtId="0">
      <sharedItems containsBlank="1" count="7">
        <m/>
        <s v="N/A"/>
        <s v="OTROS GASTOS FTO"/>
        <s v="OTROS GASTOS INVERSION"/>
        <s v="SALUD PUBLICA"/>
        <s v="PRESTACION SERVICIOS"/>
        <s v="REGIMEN SUBSIDIADO"/>
      </sharedItems>
    </cacheField>
    <cacheField name="INGRESO AGREGADO" numFmtId="0">
      <sharedItems containsBlank="1" count="10">
        <m/>
        <s v="ICDE"/>
        <s v="ICLD 1"/>
        <s v="ESTAMPILLAS"/>
        <s v="SGP"/>
        <s v="COFINANCIACION"/>
        <s v="ICLD 2"/>
        <s v="CREDITO"/>
        <s v="REGALIAS"/>
        <s v="ICDE SALUD"/>
      </sharedItems>
    </cacheField>
    <cacheField name="CLASE INGRESO" numFmtId="0">
      <sharedItems containsBlank="1" count="3">
        <m/>
        <s v="CORRIENTE"/>
        <s v="CAPITAL"/>
      </sharedItems>
    </cacheField>
    <cacheField name="TIPO INGRESO" numFmtId="0">
      <sharedItems containsBlank="1" count="15">
        <m/>
        <s v="TRIBUTARIO"/>
        <s v="NO TRIBUTARIO"/>
        <s v="EXCEDENTES"/>
        <s v="DIVIDENDOS"/>
        <s v="RENDIMIENTOS"/>
        <s v="CREDITO"/>
        <s v="CANC RESERVAS"/>
        <s v="SUPERAVIT"/>
        <s v="REINTEGROS"/>
        <s v="OTROS RK"/>
        <s v="TRANSF K"/>
        <s v="REC CARTERA"/>
        <s v="RET FONPET"/>
        <s v="SUPERAVIT FISCAL"/>
      </sharedItems>
    </cacheField>
    <cacheField name="CODIGO PPTAL" numFmtId="0">
      <sharedItems containsBlank="1" containsMixedTypes="1" containsNumber="1" minValue="1" maxValue="30303"/>
    </cacheField>
    <cacheField name="FUENTE" numFmtId="0">
      <sharedItems containsBlank="1" containsMixedTypes="1" containsNumber="1" containsInteger="1" minValue="3" maxValue="600"/>
    </cacheField>
    <cacheField name="CONCEPTO DEL INGRESO" numFmtId="0">
      <sharedItems containsBlank="1"/>
    </cacheField>
    <cacheField name="2026" numFmtId="0">
      <sharedItems containsBlank="1" containsMixedTypes="1" containsNumber="1" containsInteger="1" minValue="0" maxValue="5946756726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5">
  <r>
    <x v="0"/>
    <x v="0"/>
    <x v="0"/>
    <x v="0"/>
    <x v="0"/>
    <x v="0"/>
    <s v="0301 - 1"/>
    <m/>
    <s v="Ingresos"/>
    <n v="438913691636"/>
  </r>
  <r>
    <x v="0"/>
    <x v="0"/>
    <x v="0"/>
    <x v="0"/>
    <x v="0"/>
    <x v="0"/>
    <s v="0301 - 1.1"/>
    <m/>
    <s v="Ingresos Corrientes"/>
    <n v="436463691636"/>
  </r>
  <r>
    <x v="0"/>
    <x v="0"/>
    <x v="0"/>
    <x v="0"/>
    <x v="0"/>
    <x v="0"/>
    <s v="0301 - 1.1.01"/>
    <m/>
    <s v="Ingresos tributarios"/>
    <n v="377152180843"/>
  </r>
  <r>
    <x v="0"/>
    <x v="0"/>
    <x v="0"/>
    <x v="0"/>
    <x v="0"/>
    <x v="0"/>
    <s v="0301 - 1.1.01.01"/>
    <m/>
    <s v="Impuestos directos"/>
    <n v="73274635571"/>
  </r>
  <r>
    <x v="0"/>
    <x v="0"/>
    <x v="0"/>
    <x v="0"/>
    <x v="0"/>
    <x v="0"/>
    <s v="0301 - 1.1.01.01.100"/>
    <m/>
    <s v="Impuesto sobre vehículos automotores"/>
    <n v="73274635571"/>
  </r>
  <r>
    <x v="1"/>
    <x v="1"/>
    <x v="1"/>
    <x v="1"/>
    <x v="1"/>
    <x v="1"/>
    <s v="0301 - 1.1.01.01.100.01 - 14"/>
    <s v="- 14"/>
    <s v="Impuesto sobre vehículos automotores"/>
    <n v="14654927114"/>
  </r>
  <r>
    <x v="1"/>
    <x v="1"/>
    <x v="1"/>
    <x v="2"/>
    <x v="1"/>
    <x v="1"/>
    <s v="0301 - 1.1.01.01.100.01 - 20"/>
    <s v="- 20"/>
    <s v="Impuesto sobre vehículos automotores"/>
    <n v="58619708457"/>
  </r>
  <r>
    <x v="0"/>
    <x v="0"/>
    <x v="0"/>
    <x v="0"/>
    <x v="0"/>
    <x v="0"/>
    <s v="0301 - 1.1.01.02"/>
    <m/>
    <s v="Impuestos indirectos"/>
    <n v="303877545272"/>
  </r>
  <r>
    <x v="0"/>
    <x v="0"/>
    <x v="0"/>
    <x v="0"/>
    <x v="0"/>
    <x v="0"/>
    <s v="0301 - 1.1.01.02.100"/>
    <m/>
    <s v="Impuesto de Registro"/>
    <n v="31564734950"/>
  </r>
  <r>
    <x v="0"/>
    <x v="0"/>
    <x v="0"/>
    <x v="0"/>
    <x v="0"/>
    <x v="0"/>
    <s v="0301 - 1.1.01.02.100.01"/>
    <m/>
    <s v="Impuesto de Registro - Cámaras de Comercio"/>
    <n v="1578236747"/>
  </r>
  <r>
    <x v="1"/>
    <x v="1"/>
    <x v="1"/>
    <x v="1"/>
    <x v="1"/>
    <x v="1"/>
    <s v="0301 - 1.1.01.02.100.01.01 - 01"/>
    <s v="- 01"/>
    <s v="Impuesto de Registro - Cámaras de Comercio"/>
    <n v="350719277"/>
  </r>
  <r>
    <x v="1"/>
    <x v="1"/>
    <x v="1"/>
    <x v="2"/>
    <x v="1"/>
    <x v="1"/>
    <s v="0301 - 1.1.01.02.100.01.01 - 20"/>
    <s v="- 20"/>
    <s v="Impuesto de Registro - Cámaras de Comercio"/>
    <n v="1227517470"/>
  </r>
  <r>
    <x v="0"/>
    <x v="0"/>
    <x v="0"/>
    <x v="0"/>
    <x v="0"/>
    <x v="0"/>
    <s v="0301 - 1.1.01.02.100.02"/>
    <m/>
    <s v="Impuesto de Registro - Oficinas de Instrumentos Públicos"/>
    <n v="29986498203"/>
  </r>
  <r>
    <x v="1"/>
    <x v="1"/>
    <x v="1"/>
    <x v="1"/>
    <x v="1"/>
    <x v="1"/>
    <s v="0301 - 1.1.01.02.100.02.01 - 01"/>
    <s v="- 01"/>
    <s v="Impuesto de Registro - Oficinas de Instrumentos Públicos"/>
    <n v="6663666267"/>
  </r>
  <r>
    <x v="1"/>
    <x v="1"/>
    <x v="1"/>
    <x v="2"/>
    <x v="1"/>
    <x v="1"/>
    <s v="0301 - 1.1.01.02.100.02.01 - 20"/>
    <s v="- 20"/>
    <s v="Impuesto de Registro - Oficinas de Instrumentos Públicos"/>
    <n v="23322831936"/>
  </r>
  <r>
    <x v="0"/>
    <x v="0"/>
    <x v="0"/>
    <x v="0"/>
    <x v="0"/>
    <x v="0"/>
    <s v="0301 - 1.1.01.02.102"/>
    <m/>
    <s v="Impuesto al degüello de ganado mayor"/>
    <n v="5500000000"/>
  </r>
  <r>
    <x v="1"/>
    <x v="1"/>
    <x v="1"/>
    <x v="2"/>
    <x v="1"/>
    <x v="1"/>
    <s v="0301 - 1.1.01.02.102.01 - 20"/>
    <s v="- 20"/>
    <s v="Impuesto al degüello de ganado mayor"/>
    <n v="5500000000"/>
  </r>
  <r>
    <x v="0"/>
    <x v="0"/>
    <x v="0"/>
    <x v="0"/>
    <x v="0"/>
    <x v="0"/>
    <s v="0301 - 1.1.01.02.104"/>
    <m/>
    <s v="Impuesto al consumo de licores, vinos, aperitivos y similares"/>
    <n v="4048770093"/>
  </r>
  <r>
    <x v="0"/>
    <x v="0"/>
    <x v="0"/>
    <x v="0"/>
    <x v="0"/>
    <x v="0"/>
    <s v="0301 - 1.1.01.02.104.02"/>
    <m/>
    <s v="Impuesto al consumo de vinos, aperitivos y similares"/>
    <n v="4048770093"/>
  </r>
  <r>
    <x v="0"/>
    <x v="0"/>
    <x v="0"/>
    <x v="0"/>
    <x v="0"/>
    <x v="0"/>
    <s v="0301 - 1.1.01.02.104.02.01"/>
    <m/>
    <s v="Impuesto al consumo de vinos, aperitivos y similares - Componente Específico"/>
    <n v="1713796671"/>
  </r>
  <r>
    <x v="1"/>
    <x v="1"/>
    <x v="1"/>
    <x v="2"/>
    <x v="1"/>
    <x v="1"/>
    <s v="0301 - 1.1.01.02.104.02.01.01 - 20"/>
    <s v="- 20"/>
    <s v="Impuesto al consumo de vinos, aperitivos y similares - Componente Específico - Nacional"/>
    <n v="697904095"/>
  </r>
  <r>
    <x v="1"/>
    <x v="1"/>
    <x v="1"/>
    <x v="1"/>
    <x v="1"/>
    <x v="1"/>
    <s v="0301 - 1.1.01.02.104.02.01.01 - 60"/>
    <s v="- 60"/>
    <s v="Impuesto al consumo de vinos, aperitivos y similares - Componente Específico - Nacional"/>
    <n v="34895204"/>
  </r>
  <r>
    <x v="1"/>
    <x v="1"/>
    <x v="1"/>
    <x v="2"/>
    <x v="1"/>
    <x v="1"/>
    <s v="0301 - 1.1.01.02.104.02.01.02 - 20"/>
    <s v="- 20"/>
    <s v="Impuesto al consumo de vinos, aperitivos y similares - Componente Específico - Extranjero"/>
    <n v="934283212"/>
  </r>
  <r>
    <x v="1"/>
    <x v="1"/>
    <x v="1"/>
    <x v="1"/>
    <x v="1"/>
    <x v="1"/>
    <s v="0301 - 1.1.01.02.104.02.01.02 - 60"/>
    <s v="- 60"/>
    <s v="Impuesto al consumo de vinos, aperitivos y similares - Componente Específico - Extranjero"/>
    <n v="46714160"/>
  </r>
  <r>
    <x v="0"/>
    <x v="0"/>
    <x v="0"/>
    <x v="0"/>
    <x v="0"/>
    <x v="0"/>
    <s v="0301 - 1.1.01.02.104.02.02"/>
    <m/>
    <s v="Impuesto al consumo de vinos, aperitivos y similares - Componente Ad Valorem"/>
    <n v="2334973422"/>
  </r>
  <r>
    <x v="1"/>
    <x v="1"/>
    <x v="1"/>
    <x v="2"/>
    <x v="1"/>
    <x v="1"/>
    <s v="0301 - 1.1.01.02.104.02.02.01 - 20"/>
    <s v="- 20"/>
    <s v="Impuesto al consumo de vinos, aperitivos y similares - Componente Ad Valorem - Nacional"/>
    <n v="816873677"/>
  </r>
  <r>
    <x v="1"/>
    <x v="1"/>
    <x v="1"/>
    <x v="1"/>
    <x v="1"/>
    <x v="1"/>
    <s v="0301 - 1.1.01.02.104.02.02.01 - 60"/>
    <s v="- 60"/>
    <s v="Impuesto al consumo de vinos, aperitivos y similares - Componente Ad Valorem - Nacional"/>
    <n v="40843683"/>
  </r>
  <r>
    <x v="1"/>
    <x v="1"/>
    <x v="1"/>
    <x v="2"/>
    <x v="1"/>
    <x v="1"/>
    <s v="0301 - 1.1.01.02.104.02.02.02 - 20"/>
    <s v="- 20"/>
    <s v="Impuesto al consumo de vinos, aperitivos y similares - Componente Ad Valorem - Extranjero"/>
    <n v="1406910536"/>
  </r>
  <r>
    <x v="1"/>
    <x v="1"/>
    <x v="1"/>
    <x v="1"/>
    <x v="1"/>
    <x v="1"/>
    <s v="0301 - 1.1.01.02.104.02.02.02 - 60"/>
    <s v="- 60"/>
    <s v="Impuesto al consumo de vinos, aperitivos y similares - Componente Ad Valorem - Extranjero"/>
    <n v="70345526"/>
  </r>
  <r>
    <x v="0"/>
    <x v="0"/>
    <x v="0"/>
    <x v="0"/>
    <x v="0"/>
    <x v="0"/>
    <s v="0301 - 1.1.01.02.105"/>
    <m/>
    <s v="Impuesto al consumo de cervezas, sifones, refajos y mezclas"/>
    <n v="93466493227"/>
  </r>
  <r>
    <x v="0"/>
    <x v="0"/>
    <x v="0"/>
    <x v="0"/>
    <x v="0"/>
    <x v="0"/>
    <s v="0301 - 1.1.01.02.105.01"/>
    <m/>
    <s v="Impuesto al consumo de cervezas, sifones, refajos y mezclas - Nacionales"/>
    <n v="93383153227"/>
  </r>
  <r>
    <x v="1"/>
    <x v="1"/>
    <x v="1"/>
    <x v="2"/>
    <x v="1"/>
    <x v="1"/>
    <s v="0301 - 1.1.01.02.105.01.01 - 20"/>
    <s v="- 20"/>
    <s v="Impuesto al consumo de cervezas, sifones, refajos y mezclas - Nacionales"/>
    <n v="93383153227"/>
  </r>
  <r>
    <x v="0"/>
    <x v="0"/>
    <x v="0"/>
    <x v="0"/>
    <x v="0"/>
    <x v="0"/>
    <s v="0301 - 1.1.01.02.105.02"/>
    <m/>
    <s v="Impuesto al consumo de cervezas, sifones, refajos y mezclas - Extranjeras"/>
    <n v="83340000"/>
  </r>
  <r>
    <x v="1"/>
    <x v="1"/>
    <x v="1"/>
    <x v="2"/>
    <x v="1"/>
    <x v="1"/>
    <s v="0301 - 1.1.01.02.105.02.02 - 20"/>
    <s v="- 20"/>
    <s v="Impuesto al consumo de cervezas, sifones, refajos y mezclas - Extranjeras"/>
    <n v="83340000"/>
  </r>
  <r>
    <x v="0"/>
    <x v="0"/>
    <x v="0"/>
    <x v="0"/>
    <x v="0"/>
    <x v="0"/>
    <s v="0301 - 1.1.01.02.106"/>
    <m/>
    <s v="Impuesto al consumo de cigarrillos y tabaco"/>
    <n v="14568136284"/>
  </r>
  <r>
    <x v="0"/>
    <x v="0"/>
    <x v="0"/>
    <x v="0"/>
    <x v="0"/>
    <x v="0"/>
    <s v="0301 - 1.1.01.02.106.01"/>
    <m/>
    <s v="Componente específico del impuesto al consumo de cigarrillos y tabaco"/>
    <n v="14568136284"/>
  </r>
  <r>
    <x v="0"/>
    <x v="0"/>
    <x v="0"/>
    <x v="0"/>
    <x v="0"/>
    <x v="0"/>
    <s v="0301 - 1.1.01.02.106.01.02"/>
    <m/>
    <s v="Componente específico del impuesto al consumo de cigarrillos y tabaco - Extranjeros"/>
    <n v="14568136284"/>
  </r>
  <r>
    <x v="1"/>
    <x v="1"/>
    <x v="1"/>
    <x v="2"/>
    <x v="1"/>
    <x v="1"/>
    <s v="0301 - 1.1.01.02.106.01.02.02 - 20"/>
    <s v="- 20"/>
    <s v="Componente específico del impuesto al consumo de cigarrillos y tabaco - Extranjeros"/>
    <n v="12237234479"/>
  </r>
  <r>
    <x v="1"/>
    <x v="1"/>
    <x v="1"/>
    <x v="1"/>
    <x v="1"/>
    <x v="1"/>
    <s v="0301 - 1.1.01.02.106.01.02.02 - 58"/>
    <s v="- 58"/>
    <s v="Componente específico del impuesto al consumo de cigarrillos y tabaco - Extranjeros"/>
    <n v="2330901805"/>
  </r>
  <r>
    <x v="0"/>
    <x v="0"/>
    <x v="0"/>
    <x v="0"/>
    <x v="0"/>
    <x v="0"/>
    <s v="0301 - 1.1.01.02.109"/>
    <m/>
    <s v="Sobretasa a la gasolina"/>
    <n v="23618883451"/>
  </r>
  <r>
    <x v="1"/>
    <x v="1"/>
    <x v="1"/>
    <x v="2"/>
    <x v="1"/>
    <x v="1"/>
    <s v="0301 - 1.1.01.02.109.01 - 20"/>
    <s v="- 20"/>
    <s v="Sobretasa a la gasolina"/>
    <n v="22437939279"/>
  </r>
  <r>
    <x v="1"/>
    <x v="1"/>
    <x v="1"/>
    <x v="1"/>
    <x v="1"/>
    <x v="1"/>
    <s v="0301 - 1.1.01.02.109.01 - 52"/>
    <s v="- 52"/>
    <s v="Sobretasa a la gasolina"/>
    <n v="1180944172"/>
  </r>
  <r>
    <x v="0"/>
    <x v="0"/>
    <x v="0"/>
    <x v="0"/>
    <x v="0"/>
    <x v="0"/>
    <s v="0301 - 1.1.01.02.218"/>
    <m/>
    <s v="Tasa prodeporte y recreación"/>
    <n v="17445464709"/>
  </r>
  <r>
    <x v="1"/>
    <x v="1"/>
    <x v="1"/>
    <x v="1"/>
    <x v="1"/>
    <x v="1"/>
    <s v="0301 - 1.1.01.02.218.01 - 61"/>
    <s v="- 61"/>
    <s v="Tasa prodeporte y recreación"/>
    <n v="17445464709"/>
  </r>
  <r>
    <x v="0"/>
    <x v="0"/>
    <x v="0"/>
    <x v="0"/>
    <x v="0"/>
    <x v="0"/>
    <s v="0301 - 1.1.01.02.300"/>
    <m/>
    <s v="Estampillas"/>
    <n v="113665062558"/>
  </r>
  <r>
    <x v="1"/>
    <x v="1"/>
    <x v="1"/>
    <x v="3"/>
    <x v="1"/>
    <x v="1"/>
    <s v="0301 - 1.1.01.02.300.01 - 08"/>
    <s v="- 08"/>
    <s v="Estampilla para el bienestar del adulto mayor"/>
    <n v="13710176465"/>
  </r>
  <r>
    <x v="1"/>
    <x v="1"/>
    <x v="1"/>
    <x v="3"/>
    <x v="1"/>
    <x v="1"/>
    <s v="0301 - 1.1.01.02.300.02 - 04"/>
    <s v="- 04"/>
    <s v="Estampilla pro desarrollo departamental"/>
    <n v="17137544471"/>
  </r>
  <r>
    <x v="1"/>
    <x v="1"/>
    <x v="1"/>
    <x v="3"/>
    <x v="1"/>
    <x v="1"/>
    <s v="0301 - 1.1.01.02.300.05 - 05"/>
    <s v="- 05"/>
    <s v="Estampilla pro electrificación rural"/>
    <n v="8660166246"/>
  </r>
  <r>
    <x v="1"/>
    <x v="1"/>
    <x v="1"/>
    <x v="3"/>
    <x v="1"/>
    <x v="1"/>
    <s v="0301 - 1.1.01.02.300.18 - 45"/>
    <s v="- 45"/>
    <s v="Estampilla Universidad de los Llanos"/>
    <n v="17722331469"/>
  </r>
  <r>
    <x v="1"/>
    <x v="1"/>
    <x v="1"/>
    <x v="3"/>
    <x v="1"/>
    <x v="1"/>
    <s v="0301 - 1.1.01.02.300.49 - 06A"/>
    <s v=" 06A"/>
    <s v="Estampilla de fomento turístico del Meta"/>
    <n v="29508800000"/>
  </r>
  <r>
    <x v="1"/>
    <x v="1"/>
    <x v="1"/>
    <x v="3"/>
    <x v="1"/>
    <x v="1"/>
    <s v="0301 - 1.1.01.02.300.49 - 06"/>
    <s v="06"/>
    <s v="Estampilla de fomento turístico del Meta"/>
    <n v="1350000000"/>
  </r>
  <r>
    <x v="1"/>
    <x v="1"/>
    <x v="1"/>
    <x v="3"/>
    <x v="1"/>
    <x v="1"/>
    <s v="0301 - 1.1.01.02.300.55 - 12A"/>
    <s v=" 12A"/>
    <s v="Estampilla pro cultura"/>
    <n v="15379328550"/>
  </r>
  <r>
    <x v="1"/>
    <x v="1"/>
    <x v="1"/>
    <x v="3"/>
    <x v="1"/>
    <x v="1"/>
    <s v="0301 - 1.1.01.02.300.61 - 47"/>
    <n v="47"/>
    <s v="Estampilla para la justicia familiar"/>
    <n v="10196715357"/>
  </r>
  <r>
    <x v="0"/>
    <x v="0"/>
    <x v="0"/>
    <x v="0"/>
    <x v="0"/>
    <x v="0"/>
    <s v="0301 - 1.1.02"/>
    <m/>
    <s v="Ingresos no tributarios"/>
    <n v="59311510793"/>
  </r>
  <r>
    <x v="0"/>
    <x v="0"/>
    <x v="0"/>
    <x v="0"/>
    <x v="0"/>
    <x v="0"/>
    <s v="0301 - 1.1.02.01"/>
    <m/>
    <s v="Contribuciones"/>
    <n v="757040488"/>
  </r>
  <r>
    <x v="0"/>
    <x v="0"/>
    <x v="0"/>
    <x v="0"/>
    <x v="0"/>
    <x v="0"/>
    <s v="0301 - 1.1.02.01.003"/>
    <m/>
    <s v="Contribuciones especiales"/>
    <n v="757040488"/>
  </r>
  <r>
    <x v="0"/>
    <x v="0"/>
    <x v="0"/>
    <x v="0"/>
    <x v="0"/>
    <x v="0"/>
    <s v="0301 - 1.1.02.01.003.01"/>
    <m/>
    <s v="Cuota de fiscalización y auditaje"/>
    <n v="757040488"/>
  </r>
  <r>
    <x v="1"/>
    <x v="1"/>
    <x v="1"/>
    <x v="1"/>
    <x v="1"/>
    <x v="2"/>
    <s v="0301 - 1.1.02.01.003.01.01 - 18"/>
    <s v="- 18"/>
    <s v="Cuota de fiscalización y auditaje"/>
    <n v="757040488"/>
  </r>
  <r>
    <x v="0"/>
    <x v="0"/>
    <x v="0"/>
    <x v="0"/>
    <x v="0"/>
    <x v="0"/>
    <s v="0301 - 1.1.02.03"/>
    <m/>
    <s v="Multas, sanciones e intereses de mora"/>
    <n v="1532988480"/>
  </r>
  <r>
    <x v="0"/>
    <x v="0"/>
    <x v="0"/>
    <x v="0"/>
    <x v="0"/>
    <x v="0"/>
    <s v="0301 - 1.1.02.03.001"/>
    <m/>
    <s v="Multas y sanciones"/>
    <n v="732988480"/>
  </r>
  <r>
    <x v="1"/>
    <x v="1"/>
    <x v="1"/>
    <x v="2"/>
    <x v="1"/>
    <x v="2"/>
    <s v="0301 - 1.1.02.03.001.03 - 20"/>
    <s v="- 20"/>
    <s v="Sanciones disciplinarias"/>
    <n v="24752070"/>
  </r>
  <r>
    <x v="1"/>
    <x v="1"/>
    <x v="1"/>
    <x v="2"/>
    <x v="1"/>
    <x v="2"/>
    <s v="0301 - 1.1.02.03.001.04 - 20"/>
    <s v="- 20"/>
    <s v="Sanciones contractuales"/>
    <n v="700000000"/>
  </r>
  <r>
    <x v="1"/>
    <x v="1"/>
    <x v="1"/>
    <x v="2"/>
    <x v="1"/>
    <x v="2"/>
    <s v="0301 - 1.1.02.03.001.05 - 20"/>
    <s v="- 20"/>
    <s v="Sanciones administrativas"/>
    <n v="0"/>
  </r>
  <r>
    <x v="1"/>
    <x v="1"/>
    <x v="1"/>
    <x v="2"/>
    <x v="1"/>
    <x v="2"/>
    <s v="0301 - 1.1.02.03.001.06 - 20"/>
    <s v="- 20"/>
    <s v="Sanciones fiscales"/>
    <n v="1274490"/>
  </r>
  <r>
    <x v="1"/>
    <x v="1"/>
    <x v="1"/>
    <x v="2"/>
    <x v="1"/>
    <x v="2"/>
    <s v="0301 - 1.1.02.03.001.11 - 20"/>
    <s v="- 20"/>
    <s v="Sanciones tributarias"/>
    <n v="6961920"/>
  </r>
  <r>
    <x v="0"/>
    <x v="0"/>
    <x v="0"/>
    <x v="0"/>
    <x v="0"/>
    <x v="0"/>
    <s v="0301 - 1.1.02.03.002"/>
    <m/>
    <s v="Intereses de mora"/>
    <n v="800000000"/>
  </r>
  <r>
    <x v="1"/>
    <x v="1"/>
    <x v="1"/>
    <x v="2"/>
    <x v="1"/>
    <x v="2"/>
    <s v="0301 - 1.1.02.03.002.01 - 20"/>
    <s v="- 20"/>
    <s v="Intereses de mora"/>
    <n v="800000000"/>
  </r>
  <r>
    <x v="0"/>
    <x v="0"/>
    <x v="0"/>
    <x v="0"/>
    <x v="0"/>
    <x v="0"/>
    <s v="0301 - 1.1.02.05"/>
    <m/>
    <s v="Venta de bienes y servicios"/>
    <n v="117306000"/>
  </r>
  <r>
    <x v="0"/>
    <x v="0"/>
    <x v="0"/>
    <x v="0"/>
    <x v="0"/>
    <x v="0"/>
    <s v="0301 - 1.1.02.05.002"/>
    <m/>
    <s v="Ventas incidentales de establecimientos no de mercado"/>
    <n v="117306000"/>
  </r>
  <r>
    <x v="0"/>
    <x v="0"/>
    <x v="0"/>
    <x v="0"/>
    <x v="0"/>
    <x v="0"/>
    <s v="0301 - 1.1.02.05.002.00"/>
    <m/>
    <s v="Agricultura, silvicultura y productos de la pesca"/>
    <m/>
  </r>
  <r>
    <x v="0"/>
    <x v="0"/>
    <x v="0"/>
    <x v="0"/>
    <x v="0"/>
    <x v="0"/>
    <s v="0301 - 1.1.02.05.002.00.01"/>
    <m/>
    <s v="Productos de la agricultura y la horticultura"/>
    <m/>
  </r>
  <r>
    <x v="0"/>
    <x v="0"/>
    <x v="0"/>
    <x v="0"/>
    <x v="0"/>
    <x v="0"/>
    <s v="0301 - 1.1.02.05.002.00.01.04"/>
    <m/>
    <s v="Semillas y frutos oleaginosos"/>
    <m/>
  </r>
  <r>
    <x v="0"/>
    <x v="0"/>
    <x v="0"/>
    <x v="0"/>
    <x v="0"/>
    <x v="0"/>
    <s v="0301 - 1.1.02.05.002.00.01.04.09"/>
    <m/>
    <s v="Otros frutos oleaginosos"/>
    <m/>
  </r>
  <r>
    <x v="1"/>
    <x v="1"/>
    <x v="1"/>
    <x v="1"/>
    <x v="1"/>
    <x v="2"/>
    <s v="0301 - 1.1.02.05.002.00.01.04.09.01 - 13"/>
    <s v="- 13"/>
    <s v="Nueces y almendras de palma"/>
    <n v="0"/>
  </r>
  <r>
    <x v="0"/>
    <x v="0"/>
    <x v="0"/>
    <x v="0"/>
    <x v="0"/>
    <x v="0"/>
    <s v="0301 - 1.1.02.05.002.00.02"/>
    <m/>
    <s v="Animales vivos y productos animales (excepto la carne)"/>
    <m/>
  </r>
  <r>
    <x v="0"/>
    <x v="0"/>
    <x v="0"/>
    <x v="0"/>
    <x v="0"/>
    <x v="0"/>
    <s v="0301 - 1.1.02.05.002.00.02.01"/>
    <m/>
    <s v="Animales vivos"/>
    <m/>
  </r>
  <r>
    <x v="0"/>
    <x v="0"/>
    <x v="0"/>
    <x v="0"/>
    <x v="0"/>
    <x v="0"/>
    <s v="0301 - 1.1.02.05.002.00.02.01.01"/>
    <m/>
    <s v="Bovinos vivos"/>
    <m/>
  </r>
  <r>
    <x v="1"/>
    <x v="1"/>
    <x v="1"/>
    <x v="1"/>
    <x v="1"/>
    <x v="2"/>
    <s v="0301 - 1.1.02.05.002.00.02.01.01.01 - 13"/>
    <s v="- 13"/>
    <s v="Ganado bovino-Productos Granja Iracá"/>
    <n v="0"/>
  </r>
  <r>
    <x v="0"/>
    <x v="0"/>
    <x v="0"/>
    <x v="0"/>
    <x v="0"/>
    <x v="0"/>
    <s v="0301 - 1.1.02.05.002.08"/>
    <m/>
    <s v="Servicios prestados a las empresas y servicios de producción"/>
    <m/>
  </r>
  <r>
    <x v="0"/>
    <x v="0"/>
    <x v="0"/>
    <x v="0"/>
    <x v="0"/>
    <x v="0"/>
    <s v="0301 - 1.1.02.05.002.08.03"/>
    <m/>
    <s v="Otros servicios profesionales, cientificos y técnicos"/>
    <m/>
  </r>
  <r>
    <x v="0"/>
    <x v="0"/>
    <x v="0"/>
    <x v="0"/>
    <x v="0"/>
    <x v="0"/>
    <s v="0301 - 1.1.02.05.002.08.03.06"/>
    <m/>
    <s v="Servicios de publicidad y el suministro de espacio o tiempo publicitarios"/>
    <m/>
  </r>
  <r>
    <x v="0"/>
    <x v="0"/>
    <x v="0"/>
    <x v="0"/>
    <x v="0"/>
    <x v="0"/>
    <s v="0301 - 1.1.02.05.002.08.03.06.03"/>
    <m/>
    <s v="Venta de espacio o tiempo publicitario (excepto a comisión)"/>
    <m/>
  </r>
  <r>
    <x v="1"/>
    <x v="1"/>
    <x v="1"/>
    <x v="2"/>
    <x v="1"/>
    <x v="2"/>
    <s v="0301 - 1.1.02.05.002.08.03.06.03.01 - 20"/>
    <s v="- 20"/>
    <s v="Venta de espacio publicitario en medios de información impresos - publicidad"/>
    <n v="0"/>
  </r>
  <r>
    <x v="0"/>
    <x v="0"/>
    <x v="0"/>
    <x v="0"/>
    <x v="0"/>
    <x v="0"/>
    <s v="0301 - 1.1.02.05.002.09"/>
    <m/>
    <s v="Servicios para la comunidad, sociales y personales"/>
    <n v="117306000"/>
  </r>
  <r>
    <x v="0"/>
    <x v="0"/>
    <x v="0"/>
    <x v="0"/>
    <x v="0"/>
    <x v="0"/>
    <s v="0301 - 1.1.02.05.002.09.01"/>
    <m/>
    <s v="Servicios de la administración pública y otros servicios prestados a la comunidad en general"/>
    <m/>
  </r>
  <r>
    <x v="0"/>
    <x v="0"/>
    <x v="0"/>
    <x v="0"/>
    <x v="0"/>
    <x v="0"/>
    <s v="0301 - 1.1.02.05.002.09.01.01"/>
    <m/>
    <s v="Servicios administrativos del gobierno"/>
    <m/>
  </r>
  <r>
    <x v="0"/>
    <x v="0"/>
    <x v="0"/>
    <x v="0"/>
    <x v="0"/>
    <x v="0"/>
    <s v="0301 - 1.1.02.05.002.09.01.01.02"/>
    <m/>
    <s v="Servicios de la administración pública relacionados con la prestación de servicios  educativos, de s"/>
    <m/>
  </r>
  <r>
    <x v="0"/>
    <x v="0"/>
    <x v="0"/>
    <x v="0"/>
    <x v="0"/>
    <x v="0"/>
    <s v="0301 - 1.1.02.05.002.09.01.01.02.03"/>
    <m/>
    <s v="Servicios de la administración pública relacionados con la vivienda e infraestructura de  servicios"/>
    <m/>
  </r>
  <r>
    <x v="1"/>
    <x v="1"/>
    <x v="1"/>
    <x v="1"/>
    <x v="1"/>
    <x v="2"/>
    <s v="0301 - 1.1.02.05.002.09.01.01.02.03.01 - 152"/>
    <s v=" 152"/>
    <s v="Los servicios de la administración pública realcionados con los programas de vivienda al público en"/>
    <n v="0"/>
  </r>
  <r>
    <x v="0"/>
    <x v="0"/>
    <x v="0"/>
    <x v="0"/>
    <x v="0"/>
    <x v="0"/>
    <s v="0301 - 1.1.02.05.002.09.01.01.09"/>
    <m/>
    <s v="Otros servicios administrativos del gobierno"/>
    <n v="117306000"/>
  </r>
  <r>
    <x v="0"/>
    <x v="0"/>
    <x v="0"/>
    <x v="0"/>
    <x v="0"/>
    <x v="0"/>
    <s v="0301 - 1.1.02.05.002.09.01.01.09.09"/>
    <m/>
    <s v="Otros servicios administrativos del gobierno n.c.p."/>
    <n v="117306000"/>
  </r>
  <r>
    <x v="1"/>
    <x v="1"/>
    <x v="1"/>
    <x v="1"/>
    <x v="1"/>
    <x v="2"/>
    <s v="0301 - 1.1.02.05.002.09.01.01.09.09.05 - 13"/>
    <s v="- 13"/>
    <s v="Otros servicios administrativos del gobierno n.c.p. -  Carnet Ganadero"/>
    <n v="115416000"/>
  </r>
  <r>
    <x v="1"/>
    <x v="1"/>
    <x v="1"/>
    <x v="1"/>
    <x v="1"/>
    <x v="2"/>
    <s v="0301 - 1.1.02.05.002.09.01.01.09.09.07 - 13"/>
    <s v="- 13"/>
    <s v="Otros servicios administrativos del gobierno n.c.p. - Talonarios Guias de Deguello"/>
    <n v="1890000"/>
  </r>
  <r>
    <x v="0"/>
    <x v="0"/>
    <x v="0"/>
    <x v="0"/>
    <x v="0"/>
    <x v="0"/>
    <s v="0301 - 1.1.02.06"/>
    <m/>
    <s v="Transferencias corrientes"/>
    <n v="34158059396"/>
  </r>
  <r>
    <x v="0"/>
    <x v="0"/>
    <x v="0"/>
    <x v="0"/>
    <x v="0"/>
    <x v="0"/>
    <s v="0301 - 1.1.02.06.001"/>
    <m/>
    <s v="Sistema General de Participaciones"/>
    <n v="16044640917"/>
  </r>
  <r>
    <x v="0"/>
    <x v="0"/>
    <x v="0"/>
    <x v="0"/>
    <x v="0"/>
    <x v="0"/>
    <s v="0301 - 1.1.02.06.001.05"/>
    <m/>
    <s v="Agua potable y saneamiento básico"/>
    <n v="16044640917"/>
  </r>
  <r>
    <x v="1"/>
    <x v="1"/>
    <x v="1"/>
    <x v="4"/>
    <x v="1"/>
    <x v="2"/>
    <s v="0301 - 1.1.02.06.001.05.01 - 99A"/>
    <s v=" 99A"/>
    <s v="Agua potable y saneamiento básico"/>
    <n v="16044640917"/>
  </r>
  <r>
    <x v="0"/>
    <x v="0"/>
    <x v="0"/>
    <x v="0"/>
    <x v="0"/>
    <x v="0"/>
    <s v="0301 - 1.1.02.06.003"/>
    <m/>
    <s v="Participaciones distintas del SGP"/>
    <n v="17413418479"/>
  </r>
  <r>
    <x v="0"/>
    <x v="0"/>
    <x v="0"/>
    <x v="0"/>
    <x v="0"/>
    <x v="0"/>
    <s v="0301 - 1.1.02.06.003.01"/>
    <m/>
    <s v="Participación en impuestos"/>
    <n v="17413418479"/>
  </r>
  <r>
    <x v="0"/>
    <x v="0"/>
    <x v="0"/>
    <x v="0"/>
    <x v="0"/>
    <x v="0"/>
    <s v="0301 - 1.1.02.06.003.01.10"/>
    <m/>
    <s v="Participación de la sobretasa al ACPM"/>
    <n v="17183962426"/>
  </r>
  <r>
    <x v="1"/>
    <x v="1"/>
    <x v="1"/>
    <x v="1"/>
    <x v="1"/>
    <x v="2"/>
    <s v="0301 - 1.1.02.06.003.01.10.01 - 23"/>
    <s v="- 23"/>
    <s v="Participación de la sobretasa al ACPM"/>
    <n v="17183962426"/>
  </r>
  <r>
    <x v="0"/>
    <x v="0"/>
    <x v="0"/>
    <x v="0"/>
    <x v="0"/>
    <x v="0"/>
    <s v="0301 - 1.1.02.06.003.01.11"/>
    <m/>
    <s v="Participación del impuesto nacional al consumo del servicio de telefonía móvil"/>
    <n v="229456053"/>
  </r>
  <r>
    <x v="1"/>
    <x v="1"/>
    <x v="1"/>
    <x v="1"/>
    <x v="1"/>
    <x v="2"/>
    <s v="0301 - 1.1.02.06.003.01.11.01 - 24"/>
    <s v="- 24"/>
    <s v="Participación del impuesto nacional al consumo del servicio de telefonía móvil"/>
    <n v="229456053"/>
  </r>
  <r>
    <x v="0"/>
    <x v="0"/>
    <x v="0"/>
    <x v="0"/>
    <x v="0"/>
    <x v="0"/>
    <s v="0301 - 1.1.02.06.006"/>
    <m/>
    <s v="Transferencias de otras entidades del gobierno general"/>
    <n v="700000000"/>
  </r>
  <r>
    <x v="0"/>
    <x v="0"/>
    <x v="0"/>
    <x v="0"/>
    <x v="0"/>
    <x v="0"/>
    <s v="0301 - 1.1.02.06.006.06"/>
    <m/>
    <s v="Otras unidades de gobierno"/>
    <n v="700000000"/>
  </r>
  <r>
    <x v="1"/>
    <x v="1"/>
    <x v="1"/>
    <x v="5"/>
    <x v="1"/>
    <x v="2"/>
    <s v="0301 - 1.1.02.06.006.06.01 - 0"/>
    <s v=" - 0"/>
    <s v="Otras unidades de gobierno - Federación Nacional de Departamentos"/>
    <n v="700000000"/>
  </r>
  <r>
    <x v="1"/>
    <x v="1"/>
    <x v="1"/>
    <x v="5"/>
    <x v="1"/>
    <x v="2"/>
    <s v="0301 - 1.1.02.06.006.06.02 - 0P"/>
    <s v="- 0P"/>
    <s v="Otras unidades de gobierno - Ecopetrol"/>
    <n v="0"/>
  </r>
  <r>
    <x v="1"/>
    <x v="1"/>
    <x v="1"/>
    <x v="5"/>
    <x v="1"/>
    <x v="2"/>
    <s v="0301 - 1.1.02.06.006.06.03 - 0C"/>
    <s v="- 0C"/>
    <s v="Otras unidades de gobierno - Cormacarena"/>
    <n v="0"/>
  </r>
  <r>
    <x v="1"/>
    <x v="1"/>
    <x v="1"/>
    <x v="5"/>
    <x v="1"/>
    <x v="2"/>
    <s v="0301 - 1.1.02.06.006.06.04 - 0V"/>
    <s v="- 0V"/>
    <s v="Otras unidades de gobierno - Mun.V/cio Convenio 1435/23"/>
    <n v="0"/>
  </r>
  <r>
    <x v="1"/>
    <x v="1"/>
    <x v="1"/>
    <x v="5"/>
    <x v="1"/>
    <x v="2"/>
    <s v="0301 - 1.1.02.06.006.06.05 - 0A"/>
    <s v="- 0A"/>
    <s v="Otras unidades de gobierno - Minagricultura Convenio 202106666"/>
    <n v="0"/>
  </r>
  <r>
    <x v="0"/>
    <x v="0"/>
    <x v="0"/>
    <x v="0"/>
    <x v="0"/>
    <x v="0"/>
    <s v="0301 - 1.1.02.07"/>
    <m/>
    <s v="Participación y derechos por monopolio"/>
    <n v="22746116429"/>
  </r>
  <r>
    <x v="0"/>
    <x v="0"/>
    <x v="0"/>
    <x v="0"/>
    <x v="0"/>
    <x v="0"/>
    <s v="0301 - 1.1.02.07.002"/>
    <m/>
    <s v="Participación y derechos de explotación del ejercicio del monopolio de licores destilados y alcohole"/>
    <n v="22746116429"/>
  </r>
  <r>
    <x v="0"/>
    <x v="0"/>
    <x v="0"/>
    <x v="0"/>
    <x v="0"/>
    <x v="0"/>
    <s v="0301 - 1.1.02.07.002.01"/>
    <m/>
    <s v="Participación y derechos de explotación del ejercicio del monopolio de licores destilados"/>
    <n v="22746116429"/>
  </r>
  <r>
    <x v="0"/>
    <x v="0"/>
    <x v="0"/>
    <x v="0"/>
    <x v="0"/>
    <x v="0"/>
    <s v="0301 - 1.1.02.07.002.01.02"/>
    <m/>
    <s v="Derechos de monopolio por la introducción de licores destilados"/>
    <n v="254003983"/>
  </r>
  <r>
    <x v="0"/>
    <x v="0"/>
    <x v="0"/>
    <x v="0"/>
    <x v="0"/>
    <x v="0"/>
    <s v="0301 - 1.1.02.07.002.01.02.01"/>
    <m/>
    <s v="Derechos de monopolio por la introducción de licores destilados de producción nacional"/>
    <n v="173923988"/>
  </r>
  <r>
    <x v="1"/>
    <x v="1"/>
    <x v="1"/>
    <x v="2"/>
    <x v="1"/>
    <x v="2"/>
    <s v="0301 - 1.1.02.07.002.01.02.01.01 - 20"/>
    <s v="- 20"/>
    <s v="Derechos de monopolio por la introducción de licores destilados de producción nacional"/>
    <n v="165641894"/>
  </r>
  <r>
    <x v="1"/>
    <x v="1"/>
    <x v="1"/>
    <x v="1"/>
    <x v="1"/>
    <x v="2"/>
    <s v="0301 - 1.1.02.07.002.01.02.01.01 - 60"/>
    <s v="- 60"/>
    <s v="Derechos de monopolio por la introducción de licores destilados de producción nacional"/>
    <n v="8282094"/>
  </r>
  <r>
    <x v="0"/>
    <x v="0"/>
    <x v="0"/>
    <x v="0"/>
    <x v="0"/>
    <x v="0"/>
    <s v="0301 - 1.1.02.07.002.01.02.02"/>
    <m/>
    <s v="Derechos de monopolio por la introducción de licores destilados de producción extranjera"/>
    <n v="80079995"/>
  </r>
  <r>
    <x v="1"/>
    <x v="1"/>
    <x v="1"/>
    <x v="2"/>
    <x v="1"/>
    <x v="2"/>
    <s v="0301 - 1.1.02.07.002.01.02.02.02 - 20"/>
    <s v="- 20"/>
    <s v="Derechos de monopolio por la introducción de licores destilados de producción extranjera"/>
    <n v="76266662"/>
  </r>
  <r>
    <x v="1"/>
    <x v="1"/>
    <x v="1"/>
    <x v="1"/>
    <x v="1"/>
    <x v="2"/>
    <s v="0301 - 1.1.02.07.002.01.02.02.02 - 60"/>
    <s v="- 60"/>
    <s v="Derechos de monopolio por la introducción de licores destilados de producción extranjera"/>
    <n v="3813333"/>
  </r>
  <r>
    <x v="0"/>
    <x v="0"/>
    <x v="0"/>
    <x v="0"/>
    <x v="0"/>
    <x v="0"/>
    <s v="0301 - 1.1.02.07.002.01.03"/>
    <m/>
    <s v="Participación por el consumo de licores destilados"/>
    <n v="22492112446"/>
  </r>
  <r>
    <x v="0"/>
    <x v="0"/>
    <x v="0"/>
    <x v="0"/>
    <x v="0"/>
    <x v="0"/>
    <s v="0301 - 1.1.02.07.002.01.03.02"/>
    <m/>
    <s v="Participación por el consumo de licores destilados introducidos"/>
    <n v="22492112446"/>
  </r>
  <r>
    <x v="0"/>
    <x v="0"/>
    <x v="0"/>
    <x v="0"/>
    <x v="0"/>
    <x v="0"/>
    <s v="0301 - 1.1.02.07.002.01.03.02.01"/>
    <m/>
    <s v="Participación por el consumo de licores destilados introducidos de producción nacional"/>
    <n v="15138474925"/>
  </r>
  <r>
    <x v="1"/>
    <x v="1"/>
    <x v="1"/>
    <x v="2"/>
    <x v="1"/>
    <x v="2"/>
    <s v="0301 - 1.1.02.07.002.01.03.02.01.01 - 20"/>
    <s v="- 20"/>
    <s v="Participación por el consumo de licores destilados introducidos de producción nacional"/>
    <n v="14417595167"/>
  </r>
  <r>
    <x v="1"/>
    <x v="1"/>
    <x v="1"/>
    <x v="1"/>
    <x v="1"/>
    <x v="2"/>
    <s v="0301 - 1.1.02.07.002.01.03.02.01.01 - 60"/>
    <s v="- 60"/>
    <s v="Participación por el consumo de licores destilados introducidos de producción nacional"/>
    <n v="720879758"/>
  </r>
  <r>
    <x v="0"/>
    <x v="0"/>
    <x v="0"/>
    <x v="0"/>
    <x v="0"/>
    <x v="0"/>
    <s v="0301 - 1.1.02.07.002.01.03.02.02"/>
    <m/>
    <s v="Participación por el consumo de licores destilados introducidos de producción extranjera"/>
    <n v="7353637521"/>
  </r>
  <r>
    <x v="0"/>
    <x v="0"/>
    <x v="0"/>
    <x v="0"/>
    <x v="0"/>
    <x v="0"/>
    <s v="0301 - 1.1.02.07.002.01.03.02.02.01"/>
    <m/>
    <s v="Participación por el consumo de licores destilados introducidos de producción extranjera recaudado p"/>
    <n v="7353637521"/>
  </r>
  <r>
    <x v="1"/>
    <x v="1"/>
    <x v="1"/>
    <x v="2"/>
    <x v="1"/>
    <x v="2"/>
    <s v="0301 - 1.1.02.07.002.01.03.02.02.01.02 - 20"/>
    <s v="- 20"/>
    <s v="Participación por el consumo de licores destilados introducidos de producción extranjera recaudado p"/>
    <n v="7003464306"/>
  </r>
  <r>
    <x v="1"/>
    <x v="1"/>
    <x v="1"/>
    <x v="1"/>
    <x v="1"/>
    <x v="2"/>
    <s v="0301 - 1.1.02.07.002.01.03.02.02.01.02 - 60"/>
    <s v="- 60"/>
    <s v="Participación por el consumo de licores destilados introducidos de producción extranjera recaudado p"/>
    <n v="350173215"/>
  </r>
  <r>
    <x v="0"/>
    <x v="0"/>
    <x v="0"/>
    <x v="0"/>
    <x v="0"/>
    <x v="0"/>
    <s v="0301 - 1.2"/>
    <m/>
    <s v="Recursos de capital"/>
    <n v="2450000000"/>
  </r>
  <r>
    <x v="0"/>
    <x v="0"/>
    <x v="0"/>
    <x v="0"/>
    <x v="0"/>
    <x v="0"/>
    <s v="0301 - 1.2.02"/>
    <m/>
    <s v="Excedentes financieros"/>
    <n v="0"/>
  </r>
  <r>
    <x v="0"/>
    <x v="0"/>
    <x v="0"/>
    <x v="0"/>
    <x v="0"/>
    <x v="0"/>
    <s v="0301 - 1.2.02.02"/>
    <m/>
    <s v="Empresas industriales y comerciales del Estado no societarias"/>
    <n v="0"/>
  </r>
  <r>
    <x v="1"/>
    <x v="1"/>
    <x v="1"/>
    <x v="6"/>
    <x v="2"/>
    <x v="3"/>
    <s v="0301 - 1.2.02.02 - 20"/>
    <s v="- 20"/>
    <s v="Empresas industriales y comerciales del Estado no societarias"/>
    <n v="0"/>
  </r>
  <r>
    <x v="0"/>
    <x v="0"/>
    <x v="0"/>
    <x v="0"/>
    <x v="0"/>
    <x v="0"/>
    <s v="0301 - 1.2.03"/>
    <m/>
    <s v="Dividendos y utilidades por otras inversiones de capital"/>
    <n v="250000000"/>
  </r>
  <r>
    <x v="0"/>
    <x v="0"/>
    <x v="0"/>
    <x v="0"/>
    <x v="0"/>
    <x v="0"/>
    <s v="0301 - 1.2.03.03"/>
    <m/>
    <s v="Sociedades de economía mixta"/>
    <n v="250000000"/>
  </r>
  <r>
    <x v="1"/>
    <x v="1"/>
    <x v="1"/>
    <x v="6"/>
    <x v="2"/>
    <x v="4"/>
    <s v="0301 - 1.2.03.03.001 - 20"/>
    <s v="- 20"/>
    <s v="Sociedades de economía mixta - EMSA"/>
    <n v="0"/>
  </r>
  <r>
    <x v="1"/>
    <x v="1"/>
    <x v="1"/>
    <x v="6"/>
    <x v="2"/>
    <x v="4"/>
    <s v="0301 - 1.2.03.03.002 - 20"/>
    <s v="- 20"/>
    <s v="Sociedades de economía mixta - Empresa de Energia de Cundinamarca"/>
    <n v="250000000"/>
  </r>
  <r>
    <x v="0"/>
    <x v="0"/>
    <x v="0"/>
    <x v="0"/>
    <x v="0"/>
    <x v="0"/>
    <s v="0301 - 1.2.05"/>
    <m/>
    <s v="Rendimientos financieros"/>
    <n v="2200000000"/>
  </r>
  <r>
    <x v="0"/>
    <x v="0"/>
    <x v="0"/>
    <x v="0"/>
    <x v="0"/>
    <x v="0"/>
    <s v="0301 - 1.2.05.02"/>
    <m/>
    <s v="Depósitos"/>
    <n v="2200000000"/>
  </r>
  <r>
    <x v="1"/>
    <x v="1"/>
    <x v="1"/>
    <x v="3"/>
    <x v="2"/>
    <x v="5"/>
    <s v="0301 - 1.2.05.02.001 - 04F"/>
    <s v=" 04F"/>
    <s v="Depósitos"/>
    <n v="0"/>
  </r>
  <r>
    <x v="1"/>
    <x v="1"/>
    <x v="1"/>
    <x v="3"/>
    <x v="2"/>
    <x v="5"/>
    <s v="0301 - 1.2.05.02.001 - 05F"/>
    <s v=" 05F"/>
    <s v="Depósitos"/>
    <n v="0"/>
  </r>
  <r>
    <x v="1"/>
    <x v="1"/>
    <x v="1"/>
    <x v="3"/>
    <x v="2"/>
    <x v="5"/>
    <s v="0301 - 1.2.05.02.001 - 08F"/>
    <s v=" 08F"/>
    <s v="Depósitos"/>
    <n v="0"/>
  </r>
  <r>
    <x v="1"/>
    <x v="1"/>
    <x v="1"/>
    <x v="1"/>
    <x v="2"/>
    <x v="5"/>
    <s v="0301 - 1.2.05.02.001 - 100I"/>
    <s v="100I"/>
    <s v="Depósitos"/>
    <n v="0"/>
  </r>
  <r>
    <x v="1"/>
    <x v="1"/>
    <x v="1"/>
    <x v="7"/>
    <x v="2"/>
    <x v="5"/>
    <s v="0301 - 1.2.05.02.001 - 125F"/>
    <s v="125F"/>
    <s v="Depósitos"/>
    <n v="0"/>
  </r>
  <r>
    <x v="1"/>
    <x v="1"/>
    <x v="1"/>
    <x v="1"/>
    <x v="2"/>
    <x v="5"/>
    <s v="0301 - 1.2.05.02.001 - 13F"/>
    <s v=" 13F"/>
    <s v="Depósitos"/>
    <n v="0"/>
  </r>
  <r>
    <x v="1"/>
    <x v="1"/>
    <x v="1"/>
    <x v="1"/>
    <x v="2"/>
    <x v="5"/>
    <s v="0301 - 1.2.05.02.001 - 152F"/>
    <s v="152F"/>
    <s v="Depósitos"/>
    <n v="0"/>
  </r>
  <r>
    <x v="1"/>
    <x v="1"/>
    <x v="1"/>
    <x v="1"/>
    <x v="2"/>
    <x v="5"/>
    <s v="0301 - 1.2.05.02.001 - 17F"/>
    <s v=" 17F"/>
    <s v="Depósitos"/>
    <n v="0"/>
  </r>
  <r>
    <x v="1"/>
    <x v="1"/>
    <x v="1"/>
    <x v="1"/>
    <x v="2"/>
    <x v="5"/>
    <s v="0301 - 1.2.05.02.001 - 18F"/>
    <s v=" 18F"/>
    <s v="Depósitos"/>
    <n v="0"/>
  </r>
  <r>
    <x v="1"/>
    <x v="1"/>
    <x v="1"/>
    <x v="8"/>
    <x v="2"/>
    <x v="5"/>
    <s v="0301 - 1.2.05.02.001 - 191F"/>
    <s v="191F"/>
    <s v="Depósitos"/>
    <n v="0"/>
  </r>
  <r>
    <x v="1"/>
    <x v="1"/>
    <x v="1"/>
    <x v="8"/>
    <x v="2"/>
    <x v="5"/>
    <s v="0301 - 1.2.05.02.001 - 193F"/>
    <s v="193F"/>
    <s v="Depósitos"/>
    <n v="0"/>
  </r>
  <r>
    <x v="1"/>
    <x v="1"/>
    <x v="1"/>
    <x v="6"/>
    <x v="2"/>
    <x v="5"/>
    <s v="0301 - 1.2.05.02.001 - 20F"/>
    <s v=" 20F"/>
    <s v="Depósitos"/>
    <n v="2000000000"/>
  </r>
  <r>
    <x v="1"/>
    <x v="1"/>
    <x v="1"/>
    <x v="1"/>
    <x v="2"/>
    <x v="5"/>
    <s v="0301 - 1.2.05.02.001 - 23F"/>
    <s v=" 23F"/>
    <s v="Depósitos"/>
    <n v="200000000"/>
  </r>
  <r>
    <x v="1"/>
    <x v="1"/>
    <x v="1"/>
    <x v="1"/>
    <x v="2"/>
    <x v="5"/>
    <s v="0301 - 1.2.05.02.001 - 58F"/>
    <s v=" 58F"/>
    <s v="Depósitos"/>
    <n v="0"/>
  </r>
  <r>
    <x v="1"/>
    <x v="1"/>
    <x v="1"/>
    <x v="1"/>
    <x v="2"/>
    <x v="5"/>
    <s v="0301 - 1.2.05.02.001 - 60F"/>
    <s v=" 60F"/>
    <s v="Depósitos"/>
    <n v="0"/>
  </r>
  <r>
    <x v="1"/>
    <x v="1"/>
    <x v="1"/>
    <x v="1"/>
    <x v="2"/>
    <x v="5"/>
    <s v="0301 - 1.2.05.02.001 - 61F"/>
    <s v=" 61F"/>
    <s v="Depósitos"/>
    <n v="0"/>
  </r>
  <r>
    <x v="1"/>
    <x v="1"/>
    <x v="1"/>
    <x v="4"/>
    <x v="2"/>
    <x v="5"/>
    <s v="0301 - 1.2.05.02.001 - 99F"/>
    <s v=" 99F"/>
    <s v="Depósitos"/>
    <n v="0"/>
  </r>
  <r>
    <x v="0"/>
    <x v="0"/>
    <x v="0"/>
    <x v="0"/>
    <x v="0"/>
    <x v="0"/>
    <s v="0301 - 1.2.07"/>
    <m/>
    <s v="Recursos de crédito interno"/>
    <n v="0"/>
  </r>
  <r>
    <x v="0"/>
    <x v="0"/>
    <x v="0"/>
    <x v="0"/>
    <x v="0"/>
    <x v="0"/>
    <s v="0301 - 1.2.07.01"/>
    <m/>
    <s v="Recursos de contratos de empréstitos internos"/>
    <n v="0"/>
  </r>
  <r>
    <x v="1"/>
    <x v="1"/>
    <x v="1"/>
    <x v="7"/>
    <x v="2"/>
    <x v="6"/>
    <s v="0301 - 1.2.07.01.001 - 125"/>
    <s v=" 125"/>
    <s v="Banca comercial"/>
    <n v="0"/>
  </r>
  <r>
    <x v="0"/>
    <x v="0"/>
    <x v="0"/>
    <x v="0"/>
    <x v="0"/>
    <x v="0"/>
    <s v="0301 - 1.2.10"/>
    <m/>
    <s v="Recursos del balance"/>
    <m/>
  </r>
  <r>
    <x v="0"/>
    <x v="0"/>
    <x v="0"/>
    <x v="0"/>
    <x v="0"/>
    <x v="0"/>
    <s v="0301 - 1.2.10.01"/>
    <m/>
    <s v="Cancelación reservas"/>
    <m/>
  </r>
  <r>
    <x v="1"/>
    <x v="1"/>
    <x v="1"/>
    <x v="5"/>
    <x v="2"/>
    <x v="7"/>
    <s v="0301 - 1.2.10.01.001 - 0RB"/>
    <s v=" 0RB"/>
    <s v="Cancelación reservas"/>
    <m/>
  </r>
  <r>
    <x v="1"/>
    <x v="1"/>
    <x v="1"/>
    <x v="3"/>
    <x v="2"/>
    <x v="7"/>
    <s v="0301 - 1.2.10.01.001 - 04DR"/>
    <s v="04DR"/>
    <s v="Cancelación reservas"/>
    <m/>
  </r>
  <r>
    <x v="1"/>
    <x v="1"/>
    <x v="1"/>
    <x v="8"/>
    <x v="2"/>
    <x v="7"/>
    <s v="0301 - 1.2.10.01.001 - 191R"/>
    <s v="191R"/>
    <s v="Cancelación reservas"/>
    <m/>
  </r>
  <r>
    <x v="1"/>
    <x v="1"/>
    <x v="1"/>
    <x v="6"/>
    <x v="2"/>
    <x v="7"/>
    <s v="0301 - 1.2.10.01.001 - 20RB"/>
    <s v="20RB"/>
    <s v="Cancelación reservas"/>
    <m/>
  </r>
  <r>
    <x v="0"/>
    <x v="0"/>
    <x v="0"/>
    <x v="0"/>
    <x v="0"/>
    <x v="0"/>
    <s v="0301 - 1.2.10.02"/>
    <m/>
    <s v="Superávit fiscal"/>
    <m/>
  </r>
  <r>
    <x v="1"/>
    <x v="1"/>
    <x v="1"/>
    <x v="5"/>
    <x v="2"/>
    <x v="8"/>
    <s v="0301 - 1.2.10.02.001 - 0FRB"/>
    <s v="0FRB"/>
    <s v="Superávit fiscal"/>
    <m/>
  </r>
  <r>
    <x v="1"/>
    <x v="1"/>
    <x v="1"/>
    <x v="5"/>
    <x v="2"/>
    <x v="8"/>
    <s v="0301 - 1.2.10.02.001 - 0PRB"/>
    <s v="0PRB"/>
    <s v="Superávit fiscal"/>
    <m/>
  </r>
  <r>
    <x v="1"/>
    <x v="1"/>
    <x v="1"/>
    <x v="1"/>
    <x v="2"/>
    <x v="8"/>
    <s v="0301 - 1.2.10.02.001 - 01RB"/>
    <s v="01RB"/>
    <s v="Superávit fiscal"/>
    <m/>
  </r>
  <r>
    <x v="1"/>
    <x v="1"/>
    <x v="1"/>
    <x v="3"/>
    <x v="2"/>
    <x v="8"/>
    <s v="0301 - 1.2.10.02.001 - 04RB"/>
    <s v="04RB"/>
    <s v="Superávit fiscal"/>
    <m/>
  </r>
  <r>
    <x v="1"/>
    <x v="1"/>
    <x v="1"/>
    <x v="3"/>
    <x v="2"/>
    <x v="8"/>
    <s v="0301 - 1.2.10.02.001 - 05RB"/>
    <s v="05RB"/>
    <s v="Superávit fiscal"/>
    <m/>
  </r>
  <r>
    <x v="1"/>
    <x v="1"/>
    <x v="1"/>
    <x v="3"/>
    <x v="2"/>
    <x v="8"/>
    <s v="0301 - 1.2.10.02.001 - 08RB"/>
    <s v="08RB"/>
    <s v="Superávit fiscal"/>
    <m/>
  </r>
  <r>
    <x v="1"/>
    <x v="1"/>
    <x v="1"/>
    <x v="1"/>
    <x v="2"/>
    <x v="8"/>
    <s v="0301 - 1.2.10.02.001 - 10RB"/>
    <s v="10RB"/>
    <s v="Superávit fiscal"/>
    <m/>
  </r>
  <r>
    <x v="1"/>
    <x v="1"/>
    <x v="1"/>
    <x v="1"/>
    <x v="2"/>
    <x v="8"/>
    <s v="0301 - 1.2.10.02.001 - 100I"/>
    <s v="100I"/>
    <s v="Superávit fiscal"/>
    <m/>
  </r>
  <r>
    <x v="1"/>
    <x v="1"/>
    <x v="1"/>
    <x v="1"/>
    <x v="2"/>
    <x v="8"/>
    <s v="0301 - 1.2.10.02.001 - 13RB"/>
    <s v="13RB"/>
    <s v="Superávit fiscal"/>
    <m/>
  </r>
  <r>
    <x v="1"/>
    <x v="1"/>
    <x v="1"/>
    <x v="1"/>
    <x v="2"/>
    <x v="8"/>
    <s v="0301 - 1.2.10.02.001 - 14RB"/>
    <s v="14RB"/>
    <s v="Superávit fiscal"/>
    <m/>
  </r>
  <r>
    <x v="1"/>
    <x v="1"/>
    <x v="1"/>
    <x v="8"/>
    <x v="2"/>
    <x v="8"/>
    <s v="0301 - 1.2.10.02.001 - 191R"/>
    <s v="191R"/>
    <s v="Superávit fiscal"/>
    <m/>
  </r>
  <r>
    <x v="1"/>
    <x v="1"/>
    <x v="1"/>
    <x v="8"/>
    <x v="2"/>
    <x v="8"/>
    <s v="0301 - 1.2.10.02.001 - 193R"/>
    <s v="193R"/>
    <s v="Superávit fiscal"/>
    <m/>
  </r>
  <r>
    <x v="1"/>
    <x v="1"/>
    <x v="1"/>
    <x v="6"/>
    <x v="2"/>
    <x v="8"/>
    <s v="0301 - 1.2.10.02.001 - 20RB"/>
    <s v="20RB"/>
    <s v="Superávit fiscal"/>
    <m/>
  </r>
  <r>
    <x v="1"/>
    <x v="1"/>
    <x v="1"/>
    <x v="1"/>
    <x v="2"/>
    <x v="8"/>
    <s v="0301 - 1.2.10.02.001 - 23RB"/>
    <s v="23RB"/>
    <s v="Superávit fiscal"/>
    <m/>
  </r>
  <r>
    <x v="1"/>
    <x v="1"/>
    <x v="1"/>
    <x v="1"/>
    <x v="2"/>
    <x v="8"/>
    <s v="0301 - 1.2.10.02.001 - 60RB"/>
    <s v="60RB"/>
    <s v="Superávit fiscal"/>
    <m/>
  </r>
  <r>
    <x v="1"/>
    <x v="1"/>
    <x v="1"/>
    <x v="1"/>
    <x v="2"/>
    <x v="8"/>
    <s v="0301 - 1.2.10.02.001 - 61RB"/>
    <s v="61RB"/>
    <s v="Superávit fiscal"/>
    <m/>
  </r>
  <r>
    <x v="1"/>
    <x v="1"/>
    <x v="1"/>
    <x v="4"/>
    <x v="2"/>
    <x v="8"/>
    <s v="0301 - 1.2.10.02.001 - 99RB"/>
    <s v="99RB"/>
    <s v="Superávit fiscal"/>
    <m/>
  </r>
  <r>
    <x v="0"/>
    <x v="0"/>
    <x v="0"/>
    <x v="0"/>
    <x v="0"/>
    <x v="0"/>
    <s v="0301 - 1.2.13"/>
    <m/>
    <s v="Reintegros y otros recursos no apropiados"/>
    <m/>
  </r>
  <r>
    <x v="0"/>
    <x v="0"/>
    <x v="0"/>
    <x v="0"/>
    <x v="0"/>
    <x v="0"/>
    <s v="0301 - 1.2.13.01"/>
    <m/>
    <s v="Reintegros"/>
    <m/>
  </r>
  <r>
    <x v="1"/>
    <x v="1"/>
    <x v="1"/>
    <x v="3"/>
    <x v="2"/>
    <x v="9"/>
    <s v="0301 - 1.2.13.01.001 - 04"/>
    <s v="- 04"/>
    <s v="Reintegros"/>
    <n v="0"/>
  </r>
  <r>
    <x v="1"/>
    <x v="1"/>
    <x v="1"/>
    <x v="3"/>
    <x v="2"/>
    <x v="9"/>
    <s v="0301 - 1.2.13.01.001 - 05"/>
    <s v="- 05"/>
    <s v="Reintegros"/>
    <m/>
  </r>
  <r>
    <x v="1"/>
    <x v="1"/>
    <x v="1"/>
    <x v="3"/>
    <x v="2"/>
    <x v="9"/>
    <s v="0301 - 1.2.13.01.001 - 08"/>
    <s v="- 08"/>
    <s v="Reintegros"/>
    <m/>
  </r>
  <r>
    <x v="1"/>
    <x v="1"/>
    <x v="1"/>
    <x v="1"/>
    <x v="2"/>
    <x v="9"/>
    <s v="0301 - 1.2.13.01.001 - 100I"/>
    <s v="100I"/>
    <s v="Reintegros"/>
    <m/>
  </r>
  <r>
    <x v="1"/>
    <x v="1"/>
    <x v="1"/>
    <x v="7"/>
    <x v="2"/>
    <x v="9"/>
    <s v="0301 - 1.2.13.01.001 - 125"/>
    <s v=" 125"/>
    <s v="Reintegros"/>
    <m/>
  </r>
  <r>
    <x v="1"/>
    <x v="1"/>
    <x v="1"/>
    <x v="1"/>
    <x v="2"/>
    <x v="9"/>
    <s v="0301 - 1.2.13.01.001 - 13"/>
    <s v="- 13"/>
    <s v="Reintegros"/>
    <m/>
  </r>
  <r>
    <x v="1"/>
    <x v="1"/>
    <x v="1"/>
    <x v="1"/>
    <x v="2"/>
    <x v="9"/>
    <s v="0301 - 1.2.13.01.001 - 17"/>
    <s v="- 17"/>
    <s v="Reintegros"/>
    <m/>
  </r>
  <r>
    <x v="1"/>
    <x v="1"/>
    <x v="1"/>
    <x v="8"/>
    <x v="2"/>
    <x v="9"/>
    <s v="0301 - 1.2.13.01.001 - 191"/>
    <s v=" 191"/>
    <s v="Reintegros"/>
    <m/>
  </r>
  <r>
    <x v="1"/>
    <x v="1"/>
    <x v="1"/>
    <x v="8"/>
    <x v="2"/>
    <x v="9"/>
    <s v="0301 - 1.2.13.01.001 - 193"/>
    <s v=" 193"/>
    <s v="Reintegros"/>
    <m/>
  </r>
  <r>
    <x v="1"/>
    <x v="1"/>
    <x v="1"/>
    <x v="6"/>
    <x v="2"/>
    <x v="9"/>
    <s v="0301 - 1.2.13.01.001 - 20"/>
    <s v="- 20"/>
    <s v="Reintegros"/>
    <m/>
  </r>
  <r>
    <x v="1"/>
    <x v="1"/>
    <x v="1"/>
    <x v="1"/>
    <x v="2"/>
    <x v="9"/>
    <s v="0301 - 1.2.13.01.001 - 23"/>
    <s v="- 23"/>
    <s v="Reintegros"/>
    <m/>
  </r>
  <r>
    <x v="0"/>
    <x v="0"/>
    <x v="0"/>
    <x v="0"/>
    <x v="0"/>
    <x v="0"/>
    <s v="0301 - 1.2.13.02"/>
    <m/>
    <s v="Recursos no apropiados"/>
    <m/>
  </r>
  <r>
    <x v="1"/>
    <x v="1"/>
    <x v="1"/>
    <x v="6"/>
    <x v="2"/>
    <x v="10"/>
    <s v="0301 - 1.2.13.02.001 - 20"/>
    <s v="- 20"/>
    <s v="Recursos no apropiados"/>
    <n v="0"/>
  </r>
  <r>
    <x v="0"/>
    <x v="0"/>
    <x v="0"/>
    <x v="0"/>
    <x v="0"/>
    <x v="0"/>
    <s v="TOTAL UNIDAD 0301"/>
    <m/>
    <m/>
    <n v="438913691636"/>
  </r>
  <r>
    <x v="0"/>
    <x v="0"/>
    <x v="0"/>
    <x v="0"/>
    <x v="0"/>
    <x v="0"/>
    <m/>
    <m/>
    <m/>
    <m/>
  </r>
  <r>
    <x v="0"/>
    <x v="0"/>
    <x v="0"/>
    <x v="0"/>
    <x v="0"/>
    <x v="0"/>
    <s v="Unidad Ejecutora:  0302 - FONDO DE EDUCACIÓN"/>
    <m/>
    <m/>
    <m/>
  </r>
  <r>
    <x v="0"/>
    <x v="0"/>
    <x v="0"/>
    <x v="0"/>
    <x v="0"/>
    <x v="0"/>
    <s v="RUBRO"/>
    <m/>
    <s v="DESCRIPCIÓN "/>
    <s v="PROYECCIÓN 2026"/>
  </r>
  <r>
    <x v="0"/>
    <x v="0"/>
    <x v="0"/>
    <x v="0"/>
    <x v="0"/>
    <x v="0"/>
    <s v="0302 - 1"/>
    <m/>
    <s v="Ingresos"/>
    <n v="594675672654"/>
  </r>
  <r>
    <x v="0"/>
    <x v="0"/>
    <x v="0"/>
    <x v="0"/>
    <x v="0"/>
    <x v="0"/>
    <s v="0302 - 1.1"/>
    <m/>
    <s v="Ingresos Corrientes"/>
    <n v="594075672654"/>
  </r>
  <r>
    <x v="0"/>
    <x v="0"/>
    <x v="0"/>
    <x v="0"/>
    <x v="0"/>
    <x v="0"/>
    <s v="0302 - 1.1.02"/>
    <m/>
    <s v="Ingresos no tributarios"/>
    <n v="594075672654"/>
  </r>
  <r>
    <x v="0"/>
    <x v="0"/>
    <x v="0"/>
    <x v="0"/>
    <x v="0"/>
    <x v="0"/>
    <s v="0302 - 1.1.02.06"/>
    <m/>
    <s v="Transferencias corrientes"/>
    <n v="593935923534"/>
  </r>
  <r>
    <x v="0"/>
    <x v="0"/>
    <x v="0"/>
    <x v="0"/>
    <x v="0"/>
    <x v="0"/>
    <s v="0302 - 1.1.02.06.001"/>
    <m/>
    <s v="Sistema General de Participaciones"/>
    <n v="553214942534"/>
  </r>
  <r>
    <x v="0"/>
    <x v="0"/>
    <x v="0"/>
    <x v="0"/>
    <x v="0"/>
    <x v="0"/>
    <s v="0302 - 1.1.02.06.001.01"/>
    <m/>
    <s v="Participación para educación"/>
    <n v="553214942534"/>
  </r>
  <r>
    <x v="0"/>
    <x v="0"/>
    <x v="0"/>
    <x v="0"/>
    <x v="0"/>
    <x v="0"/>
    <s v="0302 - 1.1.02.06.001.01.01"/>
    <m/>
    <s v="Prestación de servicio educativo"/>
    <n v="549077509198"/>
  </r>
  <r>
    <x v="1"/>
    <x v="2"/>
    <x v="1"/>
    <x v="4"/>
    <x v="1"/>
    <x v="2"/>
    <s v="0302 - 1.1.02.06.001.01.01.01 - 25"/>
    <s v="- 25"/>
    <s v="Prestación de servicio educativo"/>
    <n v="461902246342"/>
  </r>
  <r>
    <x v="1"/>
    <x v="2"/>
    <x v="1"/>
    <x v="4"/>
    <x v="1"/>
    <x v="2"/>
    <s v="0302 - 1.1.02.06.001.01.01.02 - 26"/>
    <s v="- 26"/>
    <s v="Prestacion de servicio educativo - Aportes Patronales SSF"/>
    <n v="59075029448"/>
  </r>
  <r>
    <x v="1"/>
    <x v="2"/>
    <x v="1"/>
    <x v="4"/>
    <x v="1"/>
    <x v="2"/>
    <s v="0302 - 1.1.02.06.001.01.01.03 - 26"/>
    <s v="- 26"/>
    <s v="Prestacion de servicio educativo - Aportes Docentes - SSF"/>
    <n v="26738875746"/>
  </r>
  <r>
    <x v="1"/>
    <x v="2"/>
    <x v="1"/>
    <x v="4"/>
    <x v="1"/>
    <x v="2"/>
    <s v="0302 - 1.1.02.06.001.01.01.04 - 25"/>
    <s v="- 25"/>
    <s v="Prestacion de servicio educativo - Conectividad"/>
    <n v="1361357662"/>
  </r>
  <r>
    <x v="0"/>
    <x v="0"/>
    <x v="0"/>
    <x v="0"/>
    <x v="0"/>
    <x v="0"/>
    <s v="0302 - 1.1.02.06.001.01.02"/>
    <m/>
    <s v="Cancelación de prestaciones sociales del magisterio"/>
    <n v="4137433336"/>
  </r>
  <r>
    <x v="1"/>
    <x v="2"/>
    <x v="1"/>
    <x v="4"/>
    <x v="1"/>
    <x v="2"/>
    <s v="0302 - 1.1.02.06.001.01.02.01 - 27"/>
    <s v="- 27"/>
    <s v="Cancelación de prestaciones sociales del magisterio"/>
    <n v="4137433336"/>
  </r>
  <r>
    <x v="0"/>
    <x v="0"/>
    <x v="0"/>
    <x v="0"/>
    <x v="0"/>
    <x v="0"/>
    <s v="0302 - 1.1.02.06.005"/>
    <m/>
    <s v="A entidades territoriales distintas de participaciones y compensaciones"/>
    <n v="40720981000"/>
  </r>
  <r>
    <x v="0"/>
    <x v="0"/>
    <x v="0"/>
    <x v="0"/>
    <x v="0"/>
    <x v="0"/>
    <s v="0302 - 1.1.02.06.005.05"/>
    <m/>
    <s v="Transferir a las entidades territoriales para apoyar la operación del programa de alimentación escol"/>
    <n v="40720981000"/>
  </r>
  <r>
    <x v="1"/>
    <x v="2"/>
    <x v="1"/>
    <x v="5"/>
    <x v="1"/>
    <x v="2"/>
    <s v="0302 - 1.1.02.06.005.05.01 - 96"/>
    <s v="- 96"/>
    <s v="Transferir a las entidades territoriales para apoyar la operación del programa de alimentación escol"/>
    <n v="40720981000"/>
  </r>
  <r>
    <x v="0"/>
    <x v="0"/>
    <x v="0"/>
    <x v="0"/>
    <x v="0"/>
    <x v="0"/>
    <s v="0302 - 1.1.02.07"/>
    <m/>
    <s v="Participación y derechos por monopolio"/>
    <n v="139749120"/>
  </r>
  <r>
    <x v="0"/>
    <x v="0"/>
    <x v="0"/>
    <x v="0"/>
    <x v="0"/>
    <x v="0"/>
    <s v="0302 - 1.1.02.07.002"/>
    <m/>
    <s v="Participación y derechos de explotación del ejercicio del monopolio de licores destilados y alcohole"/>
    <n v="139749120"/>
  </r>
  <r>
    <x v="0"/>
    <x v="0"/>
    <x v="0"/>
    <x v="0"/>
    <x v="0"/>
    <x v="0"/>
    <s v="0302 - 1.1.02.07.002.01"/>
    <m/>
    <s v="Participación y derechos de explotación del ejercicio del monopolio de licores destilados"/>
    <n v="139749120"/>
  </r>
  <r>
    <x v="0"/>
    <x v="0"/>
    <x v="0"/>
    <x v="0"/>
    <x v="0"/>
    <x v="0"/>
    <s v="0302 - 1.1.02.07.002.01.02"/>
    <m/>
    <s v="Derechos de monopolio por la introducción de licores destilados"/>
    <n v="139749120"/>
  </r>
  <r>
    <x v="0"/>
    <x v="0"/>
    <x v="0"/>
    <x v="0"/>
    <x v="0"/>
    <x v="0"/>
    <s v="0302 - 1.1.02.07.002.01.02.01"/>
    <m/>
    <s v="Derechos de monopolio por la introducción de licores destilados de producción nacional"/>
    <n v="0"/>
  </r>
  <r>
    <x v="1"/>
    <x v="2"/>
    <x v="1"/>
    <x v="1"/>
    <x v="1"/>
    <x v="2"/>
    <s v="0302 - 1.1.02.07.002.01.02.01.01 - 153"/>
    <s v=" 153"/>
    <s v="Derechos de monopolio por la introducción de licores destilados de producción nacional"/>
    <n v="0"/>
  </r>
  <r>
    <x v="0"/>
    <x v="0"/>
    <x v="0"/>
    <x v="0"/>
    <x v="0"/>
    <x v="0"/>
    <s v="0302 - 1.1.02.07.002.01.02.02"/>
    <m/>
    <s v="Derechos de monopolio por la introducción de licores destilados de producción extranjera"/>
    <n v="139749120"/>
  </r>
  <r>
    <x v="1"/>
    <x v="2"/>
    <x v="1"/>
    <x v="1"/>
    <x v="1"/>
    <x v="2"/>
    <s v="0302 - 1.1.02.07.002.01.02.02.02 - 153"/>
    <s v=" 153"/>
    <s v="Derechos de monopolio por la introducción de licores destilados de producción extranjera"/>
    <n v="139749120"/>
  </r>
  <r>
    <x v="0"/>
    <x v="0"/>
    <x v="0"/>
    <x v="0"/>
    <x v="0"/>
    <x v="0"/>
    <s v="0302 - 1.2"/>
    <m/>
    <s v="Recursos de capital"/>
    <n v="600000000"/>
  </r>
  <r>
    <x v="0"/>
    <x v="0"/>
    <x v="0"/>
    <x v="0"/>
    <x v="0"/>
    <x v="0"/>
    <s v="0302 - 1.2.05"/>
    <m/>
    <s v="Rendimientos financieros"/>
    <n v="600000000"/>
  </r>
  <r>
    <x v="0"/>
    <x v="0"/>
    <x v="0"/>
    <x v="0"/>
    <x v="0"/>
    <x v="0"/>
    <s v="0302 - 1.2.05.02"/>
    <m/>
    <s v="Depósitos"/>
    <n v="600000000"/>
  </r>
  <r>
    <x v="1"/>
    <x v="2"/>
    <x v="1"/>
    <x v="1"/>
    <x v="2"/>
    <x v="5"/>
    <s v="0302 - 1.2.05.02.001 - 153F"/>
    <s v="153F"/>
    <s v="Depósitos"/>
    <n v="0"/>
  </r>
  <r>
    <x v="1"/>
    <x v="2"/>
    <x v="1"/>
    <x v="4"/>
    <x v="2"/>
    <x v="5"/>
    <s v="0302 - 1.2.05.02.001 - 25F"/>
    <s v=" 25F"/>
    <s v="Depósitos"/>
    <n v="600000000"/>
  </r>
  <r>
    <x v="1"/>
    <x v="2"/>
    <x v="1"/>
    <x v="4"/>
    <x v="2"/>
    <x v="5"/>
    <s v="0302 - 1.2.05.02.001 - 27F"/>
    <s v=" 27F"/>
    <s v="Depósitos"/>
    <n v="0"/>
  </r>
  <r>
    <x v="1"/>
    <x v="2"/>
    <x v="1"/>
    <x v="1"/>
    <x v="2"/>
    <x v="5"/>
    <s v="0302 - 1.2.05.02.001 - 96F"/>
    <s v=" 96F"/>
    <s v="Depósitos"/>
    <n v="0"/>
  </r>
  <r>
    <x v="1"/>
    <x v="2"/>
    <x v="1"/>
    <x v="1"/>
    <x v="2"/>
    <x v="5"/>
    <s v="0302 - 1.2.05.02.001 - 98F"/>
    <s v=" 98F"/>
    <s v="Depósitos"/>
    <n v="0"/>
  </r>
  <r>
    <x v="0"/>
    <x v="0"/>
    <x v="0"/>
    <x v="0"/>
    <x v="0"/>
    <x v="0"/>
    <s v="0302 - 1.2.10"/>
    <m/>
    <s v="Recursos del balance"/>
    <n v="0"/>
  </r>
  <r>
    <x v="0"/>
    <x v="0"/>
    <x v="0"/>
    <x v="0"/>
    <x v="0"/>
    <x v="0"/>
    <s v="0302 - 1.2.10.02"/>
    <m/>
    <s v="Superávit fiscal"/>
    <n v="0"/>
  </r>
  <r>
    <x v="1"/>
    <x v="2"/>
    <x v="1"/>
    <x v="5"/>
    <x v="2"/>
    <x v="8"/>
    <s v="0302 - 1.2.10.02.001 - 0ERB"/>
    <s v="0ERB"/>
    <s v="Superávit fiscal"/>
    <m/>
  </r>
  <r>
    <x v="1"/>
    <x v="2"/>
    <x v="1"/>
    <x v="1"/>
    <x v="2"/>
    <x v="8"/>
    <s v="0302 - 1.2.10.02.001 - 153R"/>
    <s v="153R"/>
    <s v="Superávit fiscal"/>
    <m/>
  </r>
  <r>
    <x v="1"/>
    <x v="2"/>
    <x v="1"/>
    <x v="4"/>
    <x v="2"/>
    <x v="8"/>
    <s v="0302 - 1.2.10.02.001 - 25FR"/>
    <s v="25FR"/>
    <s v="Superávit fiscal"/>
    <m/>
  </r>
  <r>
    <x v="1"/>
    <x v="2"/>
    <x v="1"/>
    <x v="4"/>
    <x v="2"/>
    <x v="8"/>
    <s v="0302 - 1.2.10.02.001 - 25RB"/>
    <s v="25RB"/>
    <s v="Superávit fiscal"/>
    <m/>
  </r>
  <r>
    <x v="1"/>
    <x v="2"/>
    <x v="1"/>
    <x v="4"/>
    <x v="2"/>
    <x v="8"/>
    <s v="0302 - 1.2.10.02.001 - 27RB"/>
    <s v="27RB"/>
    <s v="Superávit fiscal"/>
    <m/>
  </r>
  <r>
    <x v="1"/>
    <x v="2"/>
    <x v="1"/>
    <x v="1"/>
    <x v="2"/>
    <x v="8"/>
    <s v="0302 - 1.2.10.02.001 - 96H0"/>
    <s v="96H0"/>
    <s v="Superávit fiscal"/>
    <m/>
  </r>
  <r>
    <x v="1"/>
    <x v="2"/>
    <x v="1"/>
    <x v="1"/>
    <x v="2"/>
    <x v="8"/>
    <s v="0302 - 1.2.10.02.001 - 96RB"/>
    <s v="96RB"/>
    <s v="Superávit fiscal"/>
    <m/>
  </r>
  <r>
    <x v="0"/>
    <x v="0"/>
    <x v="0"/>
    <x v="0"/>
    <x v="0"/>
    <x v="0"/>
    <s v="0302 - 1.2.13"/>
    <m/>
    <s v="Reintegros y otros recursos no apropiados"/>
    <n v="0"/>
  </r>
  <r>
    <x v="0"/>
    <x v="0"/>
    <x v="0"/>
    <x v="0"/>
    <x v="0"/>
    <x v="0"/>
    <s v="0302 - 1.2.13.01"/>
    <m/>
    <s v="Reintegros"/>
    <n v="0"/>
  </r>
  <r>
    <x v="1"/>
    <x v="2"/>
    <x v="1"/>
    <x v="4"/>
    <x v="2"/>
    <x v="9"/>
    <s v="0302 - 1.2.13.01.001 - 25"/>
    <s v="- 25"/>
    <s v="Reintegros"/>
    <n v="0"/>
  </r>
  <r>
    <x v="0"/>
    <x v="0"/>
    <x v="0"/>
    <x v="0"/>
    <x v="0"/>
    <x v="0"/>
    <s v="TOTAL UNIDAD 0302"/>
    <m/>
    <m/>
    <n v="594675672654"/>
  </r>
  <r>
    <x v="0"/>
    <x v="0"/>
    <x v="0"/>
    <x v="0"/>
    <x v="0"/>
    <x v="0"/>
    <m/>
    <m/>
    <m/>
    <m/>
  </r>
  <r>
    <x v="0"/>
    <x v="0"/>
    <x v="0"/>
    <x v="0"/>
    <x v="0"/>
    <x v="0"/>
    <s v="Unidad Ejecutora:  0303 - FONDO DE SALUD"/>
    <m/>
    <m/>
    <m/>
  </r>
  <r>
    <x v="0"/>
    <x v="0"/>
    <x v="0"/>
    <x v="0"/>
    <x v="0"/>
    <x v="0"/>
    <s v="RUBRO"/>
    <m/>
    <s v="DESCRIPCIÓN "/>
    <s v="PROYECCIÓN 2026"/>
  </r>
  <r>
    <x v="0"/>
    <x v="0"/>
    <x v="0"/>
    <x v="0"/>
    <x v="0"/>
    <x v="0"/>
    <s v="0303 -"/>
    <m/>
    <s v="FONDOS LOCAL DE SALUD"/>
    <n v="136834714317"/>
  </r>
  <r>
    <x v="0"/>
    <x v="0"/>
    <x v="0"/>
    <x v="0"/>
    <x v="0"/>
    <x v="0"/>
    <s v="0303 01"/>
    <m/>
    <s v="SUBCUENTA DE OTROS GASTOS EN SALUD"/>
    <n v="33824846223"/>
  </r>
  <r>
    <x v="0"/>
    <x v="0"/>
    <x v="0"/>
    <x v="0"/>
    <x v="0"/>
    <x v="0"/>
    <s v="0301 011"/>
    <m/>
    <s v="FUNCIONAMIENTO"/>
    <n v="12212970577"/>
  </r>
  <r>
    <x v="0"/>
    <x v="0"/>
    <x v="0"/>
    <x v="0"/>
    <x v="0"/>
    <x v="0"/>
    <s v="03030101 - 1"/>
    <m/>
    <s v="Ingresos"/>
    <n v="12212970577"/>
  </r>
  <r>
    <x v="0"/>
    <x v="0"/>
    <x v="0"/>
    <x v="0"/>
    <x v="0"/>
    <x v="0"/>
    <s v="03030101 - 1.1"/>
    <m/>
    <s v="Ingresos Corrientes"/>
    <n v="12212970577"/>
  </r>
  <r>
    <x v="0"/>
    <x v="0"/>
    <x v="0"/>
    <x v="0"/>
    <x v="0"/>
    <x v="0"/>
    <s v="03030101 - 1.1.01"/>
    <m/>
    <s v="Ingresos tributarios"/>
    <n v="5775542866"/>
  </r>
  <r>
    <x v="0"/>
    <x v="0"/>
    <x v="0"/>
    <x v="0"/>
    <x v="0"/>
    <x v="0"/>
    <s v="03030101 - 1.1.01.01"/>
    <m/>
    <s v="Impuestos directos"/>
    <n v="203564312"/>
  </r>
  <r>
    <x v="0"/>
    <x v="0"/>
    <x v="0"/>
    <x v="0"/>
    <x v="0"/>
    <x v="0"/>
    <s v="03030101 - 1.1.01.01.101"/>
    <m/>
    <s v="Impuesto a ganadores de sorteos ordinarios y extraordinarios"/>
    <n v="203564312"/>
  </r>
  <r>
    <x v="1"/>
    <x v="3"/>
    <x v="2"/>
    <x v="9"/>
    <x v="1"/>
    <x v="1"/>
    <s v="03030101 - 1.1.01.01.101.01 - 71"/>
    <s v="- 71"/>
    <s v="Impuesto a ganadores de sorteos ordinarios y extraordinarios"/>
    <n v="203564312"/>
  </r>
  <r>
    <x v="0"/>
    <x v="0"/>
    <x v="0"/>
    <x v="0"/>
    <x v="0"/>
    <x v="0"/>
    <s v="03030101 - 1.1.01.02"/>
    <m/>
    <s v="Impuestos indirectos"/>
    <n v="5571978554"/>
  </r>
  <r>
    <x v="0"/>
    <x v="0"/>
    <x v="0"/>
    <x v="0"/>
    <x v="0"/>
    <x v="0"/>
    <s v="03030101 - 1.1.01.02.101"/>
    <m/>
    <s v="Impuesto de loterías foráneas"/>
    <n v="371880629"/>
  </r>
  <r>
    <x v="1"/>
    <x v="3"/>
    <x v="2"/>
    <x v="9"/>
    <x v="1"/>
    <x v="2"/>
    <s v="03030101 - 1.1.01.02.101.01 - 72"/>
    <s v="- 72"/>
    <s v="Impuesto de loterías foráneas"/>
    <n v="371880629"/>
  </r>
  <r>
    <x v="0"/>
    <x v="0"/>
    <x v="0"/>
    <x v="0"/>
    <x v="0"/>
    <x v="0"/>
    <s v="03030101 - 1.1.01.02.103"/>
    <m/>
    <s v="IVA sobre licores, vinos, aperitivos y similares (régimen anterior)"/>
    <n v="0"/>
  </r>
  <r>
    <x v="1"/>
    <x v="3"/>
    <x v="2"/>
    <x v="9"/>
    <x v="1"/>
    <x v="2"/>
    <s v="03030101 - 1.1.01.02.103.01 - 150"/>
    <s v=" 150"/>
    <s v="IVA sobre licores, vinos, aperitivos y similares (régimen anterior)"/>
    <n v="0"/>
  </r>
  <r>
    <x v="0"/>
    <x v="0"/>
    <x v="0"/>
    <x v="0"/>
    <x v="0"/>
    <x v="0"/>
    <s v="03030101 - 1.1.01.02.104"/>
    <m/>
    <s v="Impuesto al consumo de licores, vinos, aperitivos y similares"/>
    <n v="751578099"/>
  </r>
  <r>
    <x v="0"/>
    <x v="0"/>
    <x v="0"/>
    <x v="0"/>
    <x v="0"/>
    <x v="0"/>
    <s v="03030101 - 1.1.01.02.104.02"/>
    <m/>
    <s v="Impuesto al consumo de vinos, aperitivos y similares"/>
    <n v="751578099"/>
  </r>
  <r>
    <x v="0"/>
    <x v="0"/>
    <x v="0"/>
    <x v="0"/>
    <x v="0"/>
    <x v="0"/>
    <s v="03030101 - 1.1.01.02.104.02.01"/>
    <m/>
    <s v="Impuesto al consumo de vinos, aperitivos y similares - Componente Específico"/>
    <n v="320371442"/>
  </r>
  <r>
    <x v="1"/>
    <x v="3"/>
    <x v="2"/>
    <x v="9"/>
    <x v="1"/>
    <x v="2"/>
    <s v="03030101 - 1.1.01.02.104.02.01.01 - 150"/>
    <s v=" 150"/>
    <s v="Impuesto al consumo de vinos, aperitivos y similares - Componente Específico - Nacional"/>
    <n v="124968007"/>
  </r>
  <r>
    <x v="1"/>
    <x v="3"/>
    <x v="2"/>
    <x v="9"/>
    <x v="1"/>
    <x v="2"/>
    <s v="03030101 - 1.1.01.02.104.02.01.02 - 150"/>
    <s v=" 150"/>
    <s v="Impuesto al consumo de vinos, aperitivos y similares - Componente Específico - Extranjero"/>
    <n v="195403435"/>
  </r>
  <r>
    <x v="0"/>
    <x v="0"/>
    <x v="0"/>
    <x v="0"/>
    <x v="0"/>
    <x v="0"/>
    <s v="03030101 - 1.1.01.02.104.02.02"/>
    <m/>
    <s v="Impuesto al consumo de vinos, aperitivos y similares - Componente Ad Valorem"/>
    <n v="431206657"/>
  </r>
  <r>
    <x v="1"/>
    <x v="3"/>
    <x v="2"/>
    <x v="9"/>
    <x v="1"/>
    <x v="2"/>
    <s v="03030101 - 1.1.01.02.104.02.02.01 - 150"/>
    <s v=" 150"/>
    <s v="Impuesto al consumo de vinos, aperitivos y similares - Componente Ad Valorem - Nacional"/>
    <n v="138101501"/>
  </r>
  <r>
    <x v="1"/>
    <x v="3"/>
    <x v="2"/>
    <x v="9"/>
    <x v="1"/>
    <x v="2"/>
    <s v="03030101 - 1.1.01.02.104.02.02.02 - 150"/>
    <s v=" 150"/>
    <s v="Impuesto al consumo de vinos, aperitivos y similares - Componente Ad Valorem - Extranjero"/>
    <n v="293105156"/>
  </r>
  <r>
    <x v="0"/>
    <x v="0"/>
    <x v="0"/>
    <x v="0"/>
    <x v="0"/>
    <x v="0"/>
    <s v="03030101 - 1.1.01.02.105"/>
    <m/>
    <s v="Impuesto al consumo de cervezas, sifones, refajos y mezclas"/>
    <n v="4448519826"/>
  </r>
  <r>
    <x v="0"/>
    <x v="0"/>
    <x v="0"/>
    <x v="0"/>
    <x v="0"/>
    <x v="0"/>
    <s v="03030101 - 1.1.01.02.105.01"/>
    <m/>
    <s v="Impuesto al consumo de cervezas, sifones, refajos y mezclas - Nacionales"/>
    <n v="4446770946"/>
  </r>
  <r>
    <x v="1"/>
    <x v="3"/>
    <x v="2"/>
    <x v="9"/>
    <x v="1"/>
    <x v="2"/>
    <s v="03030101 - 1.1.01.02.105.01.01 - 29"/>
    <s v="- 29"/>
    <s v="Impuesto al consumo de cervezas, sifones, refajos y mezclas - Nacionales"/>
    <n v="4446770946"/>
  </r>
  <r>
    <x v="0"/>
    <x v="0"/>
    <x v="0"/>
    <x v="0"/>
    <x v="0"/>
    <x v="0"/>
    <s v="03030101 - 1.1.01.02.105.02"/>
    <m/>
    <s v="Impuesto al consumo de cervezas, sifones, refajos y mezclas - Extranjeras"/>
    <n v="1748880"/>
  </r>
  <r>
    <x v="1"/>
    <x v="3"/>
    <x v="2"/>
    <x v="9"/>
    <x v="1"/>
    <x v="2"/>
    <s v="03030101 - 1.1.01.02.105.02.02 - 29"/>
    <s v="- 29"/>
    <s v="Impuesto al consumo de cervezas, sifones, refajos y mezclas - Extranjeras"/>
    <n v="1748880"/>
  </r>
  <r>
    <x v="0"/>
    <x v="0"/>
    <x v="0"/>
    <x v="0"/>
    <x v="0"/>
    <x v="0"/>
    <s v="03030101 - 1.1.02"/>
    <m/>
    <s v="Ingresos no tributarios"/>
    <n v="6437427711"/>
  </r>
  <r>
    <x v="0"/>
    <x v="0"/>
    <x v="0"/>
    <x v="0"/>
    <x v="0"/>
    <x v="0"/>
    <s v="03030101 - 1.1.02.02"/>
    <m/>
    <s v="Tasas y derechos administrativos"/>
    <n v="16326200"/>
  </r>
  <r>
    <x v="0"/>
    <x v="0"/>
    <x v="0"/>
    <x v="0"/>
    <x v="0"/>
    <x v="0"/>
    <s v="03030101 - 1.1.02.02.100"/>
    <m/>
    <s v="Expedición de licencias de funcionamiento de equipos de rayos X"/>
    <n v="16326200"/>
  </r>
  <r>
    <x v="1"/>
    <x v="3"/>
    <x v="2"/>
    <x v="9"/>
    <x v="1"/>
    <x v="2"/>
    <s v="03030101 - 1.1.02.02.100.01 - 34"/>
    <s v="- 34"/>
    <s v="Expedicion de licencias de funcionamiento de equipos de rayos X"/>
    <n v="16326200"/>
  </r>
  <r>
    <x v="0"/>
    <x v="0"/>
    <x v="0"/>
    <x v="0"/>
    <x v="0"/>
    <x v="0"/>
    <s v="03030101 - 1.1.02.07"/>
    <m/>
    <s v="Participación y derechos por monopolio"/>
    <n v="6421101511"/>
  </r>
  <r>
    <x v="0"/>
    <x v="0"/>
    <x v="0"/>
    <x v="0"/>
    <x v="0"/>
    <x v="0"/>
    <s v="03030101 - 1.1.02.07.001"/>
    <m/>
    <s v="Derechos por la explotación juegos de suerte y azar"/>
    <n v="3238509763"/>
  </r>
  <r>
    <x v="0"/>
    <x v="0"/>
    <x v="0"/>
    <x v="0"/>
    <x v="0"/>
    <x v="0"/>
    <s v="03030101 - 1.1.02.07.001.03"/>
    <m/>
    <s v="Derechos por la explotación juegos de suerte y azar de lotería tradicional"/>
    <n v="529041108"/>
  </r>
  <r>
    <x v="1"/>
    <x v="3"/>
    <x v="2"/>
    <x v="9"/>
    <x v="1"/>
    <x v="2"/>
    <s v="03030101 - 1.1.02.07.001.03.01 - 71"/>
    <s v="- 71"/>
    <s v="Derechos por la explotación juegos de suerte y azar de lotería tradicional"/>
    <n v="529041108"/>
  </r>
  <r>
    <x v="0"/>
    <x v="0"/>
    <x v="0"/>
    <x v="0"/>
    <x v="0"/>
    <x v="0"/>
    <s v="03030101 - 1.1.02.07.001.04"/>
    <m/>
    <s v="Derechos por la explotación juegos de suerte y azar de apuestas permanentes o chance"/>
    <n v="1976205363"/>
  </r>
  <r>
    <x v="1"/>
    <x v="3"/>
    <x v="2"/>
    <x v="9"/>
    <x v="1"/>
    <x v="2"/>
    <s v="03030101 - 1.1.02.07.001.04.01 - 70"/>
    <s v="- 70"/>
    <s v="Derechos por la explotación juegos de suerte y azar de apuestas permanentes o chance"/>
    <n v="1976205363"/>
  </r>
  <r>
    <x v="0"/>
    <x v="0"/>
    <x v="0"/>
    <x v="0"/>
    <x v="0"/>
    <x v="0"/>
    <s v="03030101 - 1.1.02.07.001.06"/>
    <m/>
    <s v="Derechos por la explotación juegos de suerte y azar de juegos promocionales"/>
    <n v="13906851"/>
  </r>
  <r>
    <x v="1"/>
    <x v="3"/>
    <x v="2"/>
    <x v="9"/>
    <x v="1"/>
    <x v="2"/>
    <s v="03030101 - 1.1.02.07.001.06.01 - 103"/>
    <s v=" 103"/>
    <s v="Derechos por la explotación juegos de suerte y azar de juegos promocionales"/>
    <n v="13906851"/>
  </r>
  <r>
    <x v="0"/>
    <x v="0"/>
    <x v="0"/>
    <x v="0"/>
    <x v="0"/>
    <x v="0"/>
    <s v="03030101 - 1.1.02.07.001.09"/>
    <m/>
    <s v="Derechos por la explotación juegos de suerte y azar de juegos novedosos"/>
    <n v="719356441"/>
  </r>
  <r>
    <x v="1"/>
    <x v="3"/>
    <x v="2"/>
    <x v="9"/>
    <x v="1"/>
    <x v="2"/>
    <s v="03030101 - 1.1.02.07.001.09.01 - 89"/>
    <s v="- 89"/>
    <s v="Derechos por la explotación juegos de suerte y azar de juegos novedosos"/>
    <n v="719356441"/>
  </r>
  <r>
    <x v="0"/>
    <x v="0"/>
    <x v="0"/>
    <x v="0"/>
    <x v="0"/>
    <x v="0"/>
    <s v="03030101 - 1.1.02.07.002"/>
    <m/>
    <s v="Participación y derechos de explotación del ejercicio del monopolio de licores destilados y alcohole"/>
    <n v="3182591748"/>
  </r>
  <r>
    <x v="0"/>
    <x v="0"/>
    <x v="0"/>
    <x v="0"/>
    <x v="0"/>
    <x v="0"/>
    <s v="03030101 - 1.1.02.07.002.01"/>
    <m/>
    <s v="Participación y derechos de explotación del ejercicio del monopolio de licores destilados"/>
    <n v="3182591748"/>
  </r>
  <r>
    <x v="0"/>
    <x v="0"/>
    <x v="0"/>
    <x v="0"/>
    <x v="0"/>
    <x v="0"/>
    <s v="03030101 - 1.1.02.07.002.01.02"/>
    <m/>
    <s v="Derechos de monopolio por la introducción de licores destilados"/>
    <n v="175245118"/>
  </r>
  <r>
    <x v="0"/>
    <x v="0"/>
    <x v="0"/>
    <x v="0"/>
    <x v="0"/>
    <x v="0"/>
    <s v="03030101 - 1.1.02.07.002.01.02.01"/>
    <m/>
    <s v="Derechos de monopolio por la introducción de licores destilados de producción nacional"/>
    <n v="124184943"/>
  </r>
  <r>
    <x v="1"/>
    <x v="3"/>
    <x v="2"/>
    <x v="9"/>
    <x v="1"/>
    <x v="2"/>
    <s v="03030101 - 1.1.02.07.002.01.02.01.01 - 150"/>
    <s v=" 150"/>
    <s v="Derechos de monopolio por la introducción de licores destilados de producción nacional"/>
    <n v="124184943"/>
  </r>
  <r>
    <x v="0"/>
    <x v="0"/>
    <x v="0"/>
    <x v="0"/>
    <x v="0"/>
    <x v="0"/>
    <s v="03030101 - 1.1.02.07.002.01.02.02"/>
    <m/>
    <s v="Derechos de monopolio por la introducción de licores destilados de producción extranjera"/>
    <n v="51060175"/>
  </r>
  <r>
    <x v="1"/>
    <x v="3"/>
    <x v="2"/>
    <x v="9"/>
    <x v="1"/>
    <x v="2"/>
    <s v="03030101 - 1.1.02.07.002.01.02.02.02 - 150"/>
    <s v=" 150"/>
    <s v="Derechos de monopolio por la introducción de licores destilados de producción extranjera"/>
    <n v="51060175"/>
  </r>
  <r>
    <x v="0"/>
    <x v="0"/>
    <x v="0"/>
    <x v="0"/>
    <x v="0"/>
    <x v="0"/>
    <s v="03030101 - 1.1.02.07.002.01.03"/>
    <m/>
    <s v="Participación por el consumo de licores destilados"/>
    <n v="3007346630"/>
  </r>
  <r>
    <x v="0"/>
    <x v="0"/>
    <x v="0"/>
    <x v="0"/>
    <x v="0"/>
    <x v="0"/>
    <s v="03030101 - 1.1.02.07.002.01.03.02"/>
    <m/>
    <s v="Participación por el consumo de licores destilados introducidos"/>
    <n v="3007346630"/>
  </r>
  <r>
    <x v="0"/>
    <x v="0"/>
    <x v="0"/>
    <x v="0"/>
    <x v="0"/>
    <x v="0"/>
    <s v="03030101 - 1.1.02.07.002.01.03.02.01"/>
    <m/>
    <s v="Participación por el consumo de licores destilados introducidos de producción nacional"/>
    <n v="1995824348"/>
  </r>
  <r>
    <x v="1"/>
    <x v="3"/>
    <x v="2"/>
    <x v="9"/>
    <x v="1"/>
    <x v="2"/>
    <s v="03030101 - 1.1.02.07.002.01.03.02.01.01 - 150"/>
    <s v=" 150"/>
    <s v="Participación por el consumo de licores destilados introducidos de producción nacional"/>
    <n v="1995824348"/>
  </r>
  <r>
    <x v="0"/>
    <x v="0"/>
    <x v="0"/>
    <x v="0"/>
    <x v="0"/>
    <x v="0"/>
    <s v="03030101 - 1.1.02.07.002.01.03.02.02"/>
    <m/>
    <s v="Participación por el consumo de licores destilados introducidos de producción extranjera"/>
    <n v="1011522282"/>
  </r>
  <r>
    <x v="0"/>
    <x v="0"/>
    <x v="0"/>
    <x v="0"/>
    <x v="0"/>
    <x v="0"/>
    <s v="03030101 - 1.1.02.07.002.01.03.02.02.01"/>
    <m/>
    <s v="Participación por el consumo de licores destilados introducidos de producción extranjera recaudado p"/>
    <n v="1011522282"/>
  </r>
  <r>
    <x v="1"/>
    <x v="3"/>
    <x v="2"/>
    <x v="9"/>
    <x v="1"/>
    <x v="2"/>
    <s v="03030101 - 1.1.02.07.002.01.03.02.02.01.02 - 150"/>
    <s v=" 150"/>
    <s v="Participación por el consumo de licores destilados introducidos de producción extranjera recaudado p"/>
    <n v="1011522282"/>
  </r>
  <r>
    <x v="0"/>
    <x v="0"/>
    <x v="0"/>
    <x v="0"/>
    <x v="0"/>
    <x v="0"/>
    <s v="03030101 - 1.2"/>
    <m/>
    <s v="Recursos de capital"/>
    <n v="0"/>
  </r>
  <r>
    <x v="0"/>
    <x v="0"/>
    <x v="0"/>
    <x v="0"/>
    <x v="0"/>
    <x v="0"/>
    <s v="03030101 - 1.2.05"/>
    <m/>
    <s v="Rendimientos financieros"/>
    <n v="0"/>
  </r>
  <r>
    <x v="0"/>
    <x v="0"/>
    <x v="0"/>
    <x v="0"/>
    <x v="0"/>
    <x v="0"/>
    <s v="03030101 - 1.2.05.02"/>
    <m/>
    <s v="Depósitos"/>
    <n v="0"/>
  </r>
  <r>
    <x v="1"/>
    <x v="3"/>
    <x v="2"/>
    <x v="9"/>
    <x v="2"/>
    <x v="5"/>
    <s v="03030101 - 1.2.05.02.001 - 150F"/>
    <s v="150F"/>
    <s v="Depósitos"/>
    <n v="0"/>
  </r>
  <r>
    <x v="1"/>
    <x v="3"/>
    <x v="2"/>
    <x v="9"/>
    <x v="2"/>
    <x v="5"/>
    <s v="03030101 - 1.2.05.02.001 - 29F"/>
    <s v=" 29F"/>
    <s v="Depósitos"/>
    <n v="0"/>
  </r>
  <r>
    <x v="1"/>
    <x v="3"/>
    <x v="2"/>
    <x v="9"/>
    <x v="2"/>
    <x v="5"/>
    <s v="03030101 - 1.2.05.02.001 - 70F"/>
    <s v=" 70F"/>
    <s v="Depósitos"/>
    <n v="0"/>
  </r>
  <r>
    <x v="1"/>
    <x v="3"/>
    <x v="2"/>
    <x v="9"/>
    <x v="2"/>
    <x v="5"/>
    <s v="03030101 - 1.2.05.02.001 - 71F"/>
    <s v=" 71F"/>
    <s v="Depósitos"/>
    <n v="0"/>
  </r>
  <r>
    <x v="0"/>
    <x v="0"/>
    <x v="0"/>
    <x v="0"/>
    <x v="0"/>
    <x v="0"/>
    <s v="03030101 - 1.2.10"/>
    <m/>
    <s v="Recursos del balance"/>
    <n v="0"/>
  </r>
  <r>
    <x v="0"/>
    <x v="0"/>
    <x v="0"/>
    <x v="0"/>
    <x v="0"/>
    <x v="0"/>
    <s v="03030101 - 1.2.10.02"/>
    <m/>
    <s v="Superávit fiscal"/>
    <n v="0"/>
  </r>
  <r>
    <x v="1"/>
    <x v="3"/>
    <x v="2"/>
    <x v="9"/>
    <x v="2"/>
    <x v="8"/>
    <s v="03030101 - 1.2.10.02.001 - 34RB"/>
    <s v="34RB"/>
    <s v="Superávit fiscal"/>
    <n v="0"/>
  </r>
  <r>
    <x v="0"/>
    <x v="0"/>
    <x v="0"/>
    <x v="0"/>
    <x v="0"/>
    <x v="0"/>
    <s v="03030101 - 1.2.13"/>
    <m/>
    <s v="Reintegros y otros recursos no apropiados"/>
    <n v="0"/>
  </r>
  <r>
    <x v="0"/>
    <x v="0"/>
    <x v="0"/>
    <x v="0"/>
    <x v="0"/>
    <x v="0"/>
    <s v="03030101 - 1.2.13.01"/>
    <m/>
    <s v="Reintegros"/>
    <n v="0"/>
  </r>
  <r>
    <x v="1"/>
    <x v="3"/>
    <x v="2"/>
    <x v="9"/>
    <x v="2"/>
    <x v="9"/>
    <s v="03030101 - 1.2.13.01.001 - 70"/>
    <s v="- 70"/>
    <s v="Reintegros"/>
    <m/>
  </r>
  <r>
    <x v="0"/>
    <x v="0"/>
    <x v="0"/>
    <x v="0"/>
    <x v="0"/>
    <x v="0"/>
    <s v="030301 012"/>
    <m/>
    <s v="INVERSIÓN"/>
    <n v="21611875646"/>
  </r>
  <r>
    <x v="0"/>
    <x v="0"/>
    <x v="0"/>
    <x v="0"/>
    <x v="0"/>
    <x v="0"/>
    <s v="03030102 - 1"/>
    <m/>
    <s v="Ingresos"/>
    <n v="21611875646"/>
  </r>
  <r>
    <x v="0"/>
    <x v="0"/>
    <x v="0"/>
    <x v="0"/>
    <x v="0"/>
    <x v="0"/>
    <s v="03030102 - 1.1"/>
    <m/>
    <s v="Ingresos Corrientes"/>
    <n v="21611875646"/>
  </r>
  <r>
    <x v="0"/>
    <x v="0"/>
    <x v="0"/>
    <x v="0"/>
    <x v="0"/>
    <x v="0"/>
    <s v="03030102 - 1.1.01"/>
    <m/>
    <s v="Ingresos tributarios"/>
    <n v="20745538145"/>
  </r>
  <r>
    <x v="0"/>
    <x v="0"/>
    <x v="0"/>
    <x v="0"/>
    <x v="0"/>
    <x v="0"/>
    <s v="03030102 - 1.1.01.01"/>
    <m/>
    <s v="Impuestos directos"/>
    <n v="61398005"/>
  </r>
  <r>
    <x v="0"/>
    <x v="0"/>
    <x v="0"/>
    <x v="0"/>
    <x v="0"/>
    <x v="0"/>
    <s v="03030102 - 1.1.01.01.101"/>
    <m/>
    <s v="Impuesto a ganadores de sorteos ordinarios y extraordinarios"/>
    <n v="0"/>
  </r>
  <r>
    <x v="1"/>
    <x v="3"/>
    <x v="3"/>
    <x v="9"/>
    <x v="1"/>
    <x v="1"/>
    <s v="03030102 - 1.1.01.01.101.01 - 71"/>
    <s v="- 71"/>
    <s v="Impuesto a ganadores de sorteos ordinarios y extraordinarios"/>
    <n v="61398005"/>
  </r>
  <r>
    <x v="0"/>
    <x v="0"/>
    <x v="0"/>
    <x v="0"/>
    <x v="0"/>
    <x v="0"/>
    <s v="03030102 - 1.1.01.02"/>
    <m/>
    <s v="Impuestos indirectos"/>
    <n v="20684140140"/>
  </r>
  <r>
    <x v="0"/>
    <x v="0"/>
    <x v="0"/>
    <x v="0"/>
    <x v="0"/>
    <x v="0"/>
    <s v="03030102 - 1.1.01.02.101"/>
    <m/>
    <s v="Impuesto de loterías foráneas"/>
    <n v="115400854"/>
  </r>
  <r>
    <x v="1"/>
    <x v="3"/>
    <x v="3"/>
    <x v="9"/>
    <x v="1"/>
    <x v="2"/>
    <s v="03030102 - 1.1.01.02.101.01 - 72"/>
    <s v="- 72"/>
    <s v="Impuesto de loterías foráneas"/>
    <n v="34815216"/>
  </r>
  <r>
    <x v="1"/>
    <x v="3"/>
    <x v="3"/>
    <x v="9"/>
    <x v="1"/>
    <x v="2"/>
    <s v="03030102 - 1.1.01.02.101.01 - 72A"/>
    <s v=" 72A"/>
    <s v="Impuesto de loterías foráneas"/>
    <n v="80585638"/>
  </r>
  <r>
    <x v="0"/>
    <x v="0"/>
    <x v="0"/>
    <x v="0"/>
    <x v="0"/>
    <x v="0"/>
    <s v="03030102 - 1.1.01.02.300"/>
    <m/>
    <s v="Estampillas"/>
    <n v="20568739286"/>
  </r>
  <r>
    <x v="1"/>
    <x v="3"/>
    <x v="3"/>
    <x v="3"/>
    <x v="1"/>
    <x v="2"/>
    <s v="03030102 - 1.1.01.02.300.63 - 84"/>
    <s v="- 84"/>
    <s v="Estampilla prohospitales públicos, centros de salud públicos y puestos de salud públicos del Departa"/>
    <n v="20568739286"/>
  </r>
  <r>
    <x v="0"/>
    <x v="0"/>
    <x v="0"/>
    <x v="0"/>
    <x v="0"/>
    <x v="0"/>
    <s v="03030102 - 1.1.02"/>
    <m/>
    <s v="Ingresos no tributarios"/>
    <n v="866337501"/>
  </r>
  <r>
    <x v="0"/>
    <x v="0"/>
    <x v="0"/>
    <x v="0"/>
    <x v="0"/>
    <x v="0"/>
    <s v="03030102 - 1.1.02.02"/>
    <m/>
    <s v="Tasas y derechos administrativos"/>
    <n v="184320937"/>
  </r>
  <r>
    <x v="0"/>
    <x v="0"/>
    <x v="0"/>
    <x v="0"/>
    <x v="0"/>
    <x v="0"/>
    <s v="03030102 - 1.1.02.02.101"/>
    <m/>
    <s v="Autorización de manejo de medicamentos de control especial del Estado"/>
    <n v="184320937"/>
  </r>
  <r>
    <x v="1"/>
    <x v="3"/>
    <x v="3"/>
    <x v="9"/>
    <x v="1"/>
    <x v="2"/>
    <s v="03030102 - 1.1.02.02.101.01 - 41"/>
    <s v="- 41"/>
    <s v="Autorización de manejo de medicamentos de control especial del Estado"/>
    <n v="184320937"/>
  </r>
  <r>
    <x v="0"/>
    <x v="0"/>
    <x v="0"/>
    <x v="0"/>
    <x v="0"/>
    <x v="0"/>
    <s v="03030102 - 1.1.02.06"/>
    <m/>
    <s v="Transferencias corrientes"/>
    <n v="0"/>
  </r>
  <r>
    <x v="0"/>
    <x v="0"/>
    <x v="0"/>
    <x v="0"/>
    <x v="0"/>
    <x v="0"/>
    <s v="03030102 - 1.1.02.06.006"/>
    <m/>
    <s v="Transferencias de otras entidades del gobierno general"/>
    <n v="0"/>
  </r>
  <r>
    <x v="0"/>
    <x v="0"/>
    <x v="0"/>
    <x v="0"/>
    <x v="0"/>
    <x v="0"/>
    <s v="03030102 - 1.1.02.06.006.01"/>
    <m/>
    <s v="Aportes Nación"/>
    <n v="0"/>
  </r>
  <r>
    <x v="1"/>
    <x v="3"/>
    <x v="3"/>
    <x v="9"/>
    <x v="1"/>
    <x v="2"/>
    <s v="03030102 - 1.1.02.06.006.01.02 - 106"/>
    <s v=" 106"/>
    <s v="Aportes Nación  - Otros Recursos Nacionales Salud"/>
    <n v="0"/>
  </r>
  <r>
    <x v="0"/>
    <x v="0"/>
    <x v="0"/>
    <x v="0"/>
    <x v="0"/>
    <x v="0"/>
    <s v="03030102 - 1.1.02.07"/>
    <m/>
    <s v="Participación y derechos por monopolio"/>
    <n v="682016564"/>
  </r>
  <r>
    <x v="0"/>
    <x v="0"/>
    <x v="0"/>
    <x v="0"/>
    <x v="0"/>
    <x v="0"/>
    <s v="03030102 - 1.1.02.07.001"/>
    <m/>
    <s v="Derechos por la explotación juegos de suerte y azar"/>
    <n v="682016564"/>
  </r>
  <r>
    <x v="0"/>
    <x v="0"/>
    <x v="0"/>
    <x v="0"/>
    <x v="0"/>
    <x v="0"/>
    <s v="03030102 - 1.1.02.07.001.03"/>
    <m/>
    <s v="Derechos por la explotación juegos de suerte y azar de lotería tradicional"/>
    <n v="146768146"/>
  </r>
  <r>
    <x v="1"/>
    <x v="3"/>
    <x v="3"/>
    <x v="9"/>
    <x v="1"/>
    <x v="2"/>
    <s v="03030102 - 1.1.02.07.001.03.01 - 103"/>
    <s v=" 103"/>
    <s v="Derechos por la explotación juegos de suerte y azar de lotería tradicional"/>
    <n v="4236634"/>
  </r>
  <r>
    <x v="1"/>
    <x v="3"/>
    <x v="3"/>
    <x v="9"/>
    <x v="1"/>
    <x v="2"/>
    <s v="03030102 - 1.1.02.07.001.03.01 - 71"/>
    <s v="- 71"/>
    <s v="Derechos por la explotación juegos de suerte y azar de lotería tradicional"/>
    <n v="142531512"/>
  </r>
  <r>
    <x v="0"/>
    <x v="0"/>
    <x v="0"/>
    <x v="0"/>
    <x v="0"/>
    <x v="0"/>
    <s v="03030102 - 1.1.02.07.001.04"/>
    <m/>
    <s v="Derechos por la explotación juegos de suerte y azar de apuestas permanentes o chance"/>
    <n v="535248418"/>
  </r>
  <r>
    <x v="1"/>
    <x v="3"/>
    <x v="3"/>
    <x v="9"/>
    <x v="1"/>
    <x v="2"/>
    <s v="03030102 - 1.1.02.07.001.04.01 - 70A"/>
    <s v=" 70A"/>
    <s v="Derechos por la explotación juegos de suerte y azar de apuestas permanentes o chance"/>
    <n v="535248418"/>
  </r>
  <r>
    <x v="0"/>
    <x v="0"/>
    <x v="0"/>
    <x v="0"/>
    <x v="0"/>
    <x v="0"/>
    <s v="03030102 - 1.2"/>
    <m/>
    <s v="Recursos de capital"/>
    <n v="0"/>
  </r>
  <r>
    <x v="0"/>
    <x v="0"/>
    <x v="0"/>
    <x v="0"/>
    <x v="0"/>
    <x v="0"/>
    <s v="03030102 - 1.2.05"/>
    <m/>
    <s v="Rendimientos financieros"/>
    <n v="0"/>
  </r>
  <r>
    <x v="0"/>
    <x v="0"/>
    <x v="0"/>
    <x v="0"/>
    <x v="0"/>
    <x v="0"/>
    <s v="03030102 - 1.2.05.02"/>
    <m/>
    <s v="Depósitos"/>
    <n v="0"/>
  </r>
  <r>
    <x v="1"/>
    <x v="3"/>
    <x v="3"/>
    <x v="9"/>
    <x v="2"/>
    <x v="5"/>
    <s v="03030102 - 1.2.05.02.001 - 106F"/>
    <s v="106F"/>
    <s v="Depósitos"/>
    <m/>
  </r>
  <r>
    <x v="1"/>
    <x v="3"/>
    <x v="3"/>
    <x v="9"/>
    <x v="2"/>
    <x v="5"/>
    <s v="03030102 - 1.2.05.02.001 - 150F"/>
    <s v="150F"/>
    <s v="Depósitos"/>
    <m/>
  </r>
  <r>
    <x v="1"/>
    <x v="3"/>
    <x v="3"/>
    <x v="9"/>
    <x v="2"/>
    <x v="5"/>
    <s v="03030102 - 1.2.05.02.001 - 16F"/>
    <s v=" 16F"/>
    <s v="Depósitos"/>
    <m/>
  </r>
  <r>
    <x v="1"/>
    <x v="3"/>
    <x v="3"/>
    <x v="9"/>
    <x v="2"/>
    <x v="5"/>
    <s v="03030102 - 1.2.05.02.001 - 29F"/>
    <s v=" 29F"/>
    <s v="Depósitos"/>
    <m/>
  </r>
  <r>
    <x v="1"/>
    <x v="3"/>
    <x v="3"/>
    <x v="9"/>
    <x v="2"/>
    <x v="5"/>
    <s v="03030102 - 1.2.05.02.001 - 41F"/>
    <s v=" 41F"/>
    <s v="Depósitos"/>
    <m/>
  </r>
  <r>
    <x v="1"/>
    <x v="3"/>
    <x v="3"/>
    <x v="9"/>
    <x v="2"/>
    <x v="5"/>
    <s v="03030102 - 1.2.05.02.001 - 84F"/>
    <s v=" 84F"/>
    <s v="Depósitos"/>
    <m/>
  </r>
  <r>
    <x v="0"/>
    <x v="0"/>
    <x v="0"/>
    <x v="0"/>
    <x v="0"/>
    <x v="0"/>
    <s v="03030102 - 1.2.10"/>
    <m/>
    <s v="Recursos del balance"/>
    <n v="0"/>
  </r>
  <r>
    <x v="0"/>
    <x v="0"/>
    <x v="0"/>
    <x v="0"/>
    <x v="0"/>
    <x v="0"/>
    <s v="03030102 - 1.2.10.02"/>
    <m/>
    <s v="Superávit fiscal"/>
    <n v="0"/>
  </r>
  <r>
    <x v="1"/>
    <x v="3"/>
    <x v="3"/>
    <x v="9"/>
    <x v="2"/>
    <x v="8"/>
    <s v="03030102 - 1.2.10.02.001 - 41RB"/>
    <s v="41RB"/>
    <s v="Superávit fiscal"/>
    <m/>
  </r>
  <r>
    <x v="0"/>
    <x v="0"/>
    <x v="0"/>
    <x v="0"/>
    <x v="0"/>
    <x v="0"/>
    <s v="030302"/>
    <m/>
    <s v="SUBCUENTA DE SALUD PÚBLICA COLECTIVA"/>
    <n v="20979541144"/>
  </r>
  <r>
    <x v="0"/>
    <x v="0"/>
    <x v="0"/>
    <x v="0"/>
    <x v="0"/>
    <x v="0"/>
    <s v="030302 - 1"/>
    <m/>
    <s v="Ingresos"/>
    <n v="20979541144"/>
  </r>
  <r>
    <x v="0"/>
    <x v="0"/>
    <x v="0"/>
    <x v="0"/>
    <x v="0"/>
    <x v="0"/>
    <s v="030302 - 1.1"/>
    <m/>
    <s v="Ingresos Corrientes"/>
    <n v="20679541144"/>
  </r>
  <r>
    <x v="0"/>
    <x v="0"/>
    <x v="0"/>
    <x v="0"/>
    <x v="0"/>
    <x v="0"/>
    <s v="030302 - 1.1.02"/>
    <m/>
    <s v="Ingresos no tributarios"/>
    <n v="20679541144"/>
  </r>
  <r>
    <x v="0"/>
    <x v="0"/>
    <x v="0"/>
    <x v="0"/>
    <x v="0"/>
    <x v="0"/>
    <s v="030302 - 1.1.02.06"/>
    <m/>
    <s v="Transferencias corrientes"/>
    <n v="20679541144"/>
  </r>
  <r>
    <x v="0"/>
    <x v="0"/>
    <x v="0"/>
    <x v="0"/>
    <x v="0"/>
    <x v="0"/>
    <s v="030302 - 1.1.02.06.001"/>
    <m/>
    <s v="Sistema General de Participaciones"/>
    <n v="18824497618"/>
  </r>
  <r>
    <x v="0"/>
    <x v="0"/>
    <x v="0"/>
    <x v="0"/>
    <x v="0"/>
    <x v="0"/>
    <s v="030302 - 1.1.02.06.001.02"/>
    <m/>
    <s v="Participación para salud"/>
    <n v="18824497618"/>
  </r>
  <r>
    <x v="0"/>
    <x v="0"/>
    <x v="0"/>
    <x v="0"/>
    <x v="0"/>
    <x v="0"/>
    <s v="030302 - 1.1.02.06.001.02.02"/>
    <m/>
    <s v="Salud pública"/>
    <n v="18824497618"/>
  </r>
  <r>
    <x v="1"/>
    <x v="3"/>
    <x v="4"/>
    <x v="4"/>
    <x v="1"/>
    <x v="2"/>
    <s v="030302 - 1.1.02.06.001.02.02.01 - 32"/>
    <s v="- 32"/>
    <s v="Salud pública"/>
    <n v="18824497618"/>
  </r>
  <r>
    <x v="0"/>
    <x v="0"/>
    <x v="0"/>
    <x v="0"/>
    <x v="0"/>
    <x v="0"/>
    <s v="030302 - 1.1.02.06.005"/>
    <m/>
    <s v="A entidades territoriales distintas de participaciones y compensaciones"/>
    <n v="1855043526"/>
  </r>
  <r>
    <x v="0"/>
    <x v="0"/>
    <x v="0"/>
    <x v="0"/>
    <x v="0"/>
    <x v="0"/>
    <s v="030302 - 1.1.02.06.005.04"/>
    <m/>
    <s v="Aportes a programas de prevención y control de enfermedades transmitidas por vectores"/>
    <n v="1443981088"/>
  </r>
  <r>
    <x v="1"/>
    <x v="3"/>
    <x v="4"/>
    <x v="9"/>
    <x v="1"/>
    <x v="2"/>
    <s v="030302 - 1.1.02.06.005.04.01 - 33"/>
    <s v="- 33"/>
    <s v="Aportes a programas de prevención y control de enfermedades transmitidas por vectores"/>
    <n v="1443981088"/>
  </r>
  <r>
    <x v="0"/>
    <x v="0"/>
    <x v="0"/>
    <x v="0"/>
    <x v="0"/>
    <x v="0"/>
    <s v="030302 - 1.1.02.06.005.11"/>
    <m/>
    <s v="Campaña y control antituberculosis"/>
    <n v="350000000"/>
  </r>
  <r>
    <x v="1"/>
    <x v="3"/>
    <x v="4"/>
    <x v="9"/>
    <x v="1"/>
    <x v="2"/>
    <s v="030302 - 1.1.02.06.005.11.01 - 35"/>
    <s v="- 35"/>
    <s v="Campaña y control antituberculosis"/>
    <n v="350000000"/>
  </r>
  <r>
    <x v="0"/>
    <x v="0"/>
    <x v="0"/>
    <x v="0"/>
    <x v="0"/>
    <x v="0"/>
    <s v="030302 - 1.1.02.06.005.12"/>
    <m/>
    <s v="Campañas control Lepra"/>
    <n v="61062438"/>
  </r>
  <r>
    <x v="1"/>
    <x v="3"/>
    <x v="4"/>
    <x v="9"/>
    <x v="1"/>
    <x v="2"/>
    <s v="030302 - 1.1.02.06.005.12.01 - 36"/>
    <s v="- 36"/>
    <s v="Campañas control Lepra"/>
    <n v="61062438"/>
  </r>
  <r>
    <x v="0"/>
    <x v="0"/>
    <x v="0"/>
    <x v="0"/>
    <x v="0"/>
    <x v="0"/>
    <s v="030302 - 1.2"/>
    <m/>
    <s v="Recursos de capital"/>
    <n v="300000000"/>
  </r>
  <r>
    <x v="0"/>
    <x v="0"/>
    <x v="0"/>
    <x v="0"/>
    <x v="0"/>
    <x v="0"/>
    <s v="030302 - 1.2.05"/>
    <m/>
    <s v="Rendimientos financieros"/>
    <n v="300000000"/>
  </r>
  <r>
    <x v="0"/>
    <x v="0"/>
    <x v="0"/>
    <x v="0"/>
    <x v="0"/>
    <x v="0"/>
    <s v="030302 - 1.2.05.02"/>
    <m/>
    <s v="Depósitos"/>
    <n v="300000000"/>
  </r>
  <r>
    <x v="1"/>
    <x v="3"/>
    <x v="4"/>
    <x v="4"/>
    <x v="2"/>
    <x v="5"/>
    <s v="030302 - 1.2.05.02.001 - 32F"/>
    <s v=" 32F"/>
    <s v="Depósitos"/>
    <n v="300000000"/>
  </r>
  <r>
    <x v="1"/>
    <x v="3"/>
    <x v="4"/>
    <x v="9"/>
    <x v="2"/>
    <x v="5"/>
    <s v="030302 - 1.2.05.02.001 - 33F"/>
    <s v=" 33F"/>
    <s v="Depósitos"/>
    <n v="0"/>
  </r>
  <r>
    <x v="1"/>
    <x v="3"/>
    <x v="4"/>
    <x v="9"/>
    <x v="2"/>
    <x v="5"/>
    <s v="030302 - 1.2.05.02.001 - 35F"/>
    <s v=" 35F"/>
    <s v="Depósitos"/>
    <n v="0"/>
  </r>
  <r>
    <x v="1"/>
    <x v="3"/>
    <x v="4"/>
    <x v="9"/>
    <x v="2"/>
    <x v="5"/>
    <s v="030302 - 1.2.05.02.001 - 36F"/>
    <s v=" 36F"/>
    <s v="Depósitos"/>
    <n v="0"/>
  </r>
  <r>
    <x v="0"/>
    <x v="0"/>
    <x v="0"/>
    <x v="0"/>
    <x v="0"/>
    <x v="0"/>
    <s v="030302 - 1.2.10"/>
    <m/>
    <s v="Recursos del balance"/>
    <n v="0"/>
  </r>
  <r>
    <x v="0"/>
    <x v="0"/>
    <x v="0"/>
    <x v="0"/>
    <x v="0"/>
    <x v="0"/>
    <s v="030302 - 1.2.10.02"/>
    <m/>
    <s v="Superávit fiscal"/>
    <n v="0"/>
  </r>
  <r>
    <x v="1"/>
    <x v="3"/>
    <x v="4"/>
    <x v="4"/>
    <x v="2"/>
    <x v="8"/>
    <s v="030302 - 1.2.10.02.001 - 32RB"/>
    <s v="32RB"/>
    <s v="Superávit fiscal"/>
    <n v="0"/>
  </r>
  <r>
    <x v="0"/>
    <x v="0"/>
    <x v="0"/>
    <x v="0"/>
    <x v="0"/>
    <x v="0"/>
    <s v="030302 - 1.2.13"/>
    <m/>
    <s v="Reintegros y otros recursos no apropiados"/>
    <n v="0"/>
  </r>
  <r>
    <x v="0"/>
    <x v="0"/>
    <x v="0"/>
    <x v="0"/>
    <x v="0"/>
    <x v="0"/>
    <s v="030302 - 1.2.13.01"/>
    <m/>
    <s v="Reintegros"/>
    <n v="0"/>
  </r>
  <r>
    <x v="1"/>
    <x v="3"/>
    <x v="4"/>
    <x v="9"/>
    <x v="2"/>
    <x v="9"/>
    <s v="030302 - 1.2.13.01.001 - 33"/>
    <s v="- 33"/>
    <s v="Reintegros"/>
    <m/>
  </r>
  <r>
    <x v="0"/>
    <x v="0"/>
    <x v="0"/>
    <x v="0"/>
    <x v="0"/>
    <x v="0"/>
    <n v="30303"/>
    <m/>
    <s v="SUBCUENTA PRESTACIÓN DE SERVICIOS DE SALUD EN LO NO CUBIERTO CON SUBSIDIOS A LA DEMANDA"/>
    <n v="17635639023"/>
  </r>
  <r>
    <x v="0"/>
    <x v="0"/>
    <x v="0"/>
    <x v="0"/>
    <x v="0"/>
    <x v="0"/>
    <s v="030303 - 1"/>
    <m/>
    <s v="Ingresos"/>
    <n v="17635639023"/>
  </r>
  <r>
    <x v="0"/>
    <x v="0"/>
    <x v="0"/>
    <x v="0"/>
    <x v="0"/>
    <x v="0"/>
    <s v="030303 - 1.1"/>
    <m/>
    <s v="Ingresos Corrientes"/>
    <n v="17635639023"/>
  </r>
  <r>
    <x v="0"/>
    <x v="0"/>
    <x v="0"/>
    <x v="0"/>
    <x v="0"/>
    <x v="0"/>
    <s v="030303 - 1.1.01"/>
    <m/>
    <s v="Ingresos tributarios"/>
    <n v="5200097925"/>
  </r>
  <r>
    <x v="0"/>
    <x v="0"/>
    <x v="0"/>
    <x v="0"/>
    <x v="0"/>
    <x v="0"/>
    <s v="030303 - 1.1.01.02"/>
    <m/>
    <s v="Impuestos indirectos"/>
    <n v="5200097925"/>
  </r>
  <r>
    <x v="0"/>
    <x v="0"/>
    <x v="0"/>
    <x v="0"/>
    <x v="0"/>
    <x v="0"/>
    <s v="030303 - 1.1.01.02.104"/>
    <m/>
    <s v="Impuesto al consumo de licores, vinos, aperitivos y similares"/>
    <n v="751578099"/>
  </r>
  <r>
    <x v="0"/>
    <x v="0"/>
    <x v="0"/>
    <x v="0"/>
    <x v="0"/>
    <x v="0"/>
    <s v="030303 - 1.1.01.02.104.02"/>
    <m/>
    <s v="Impuesto al consumo de vinos, aperitivos y similares"/>
    <n v="751578099"/>
  </r>
  <r>
    <x v="0"/>
    <x v="0"/>
    <x v="0"/>
    <x v="0"/>
    <x v="0"/>
    <x v="0"/>
    <s v="030303 - 1.1.01.02.104.02.01"/>
    <m/>
    <s v="Impuesto al consumo de vinos, aperitivos y similares - Componente Específico"/>
    <n v="320371442"/>
  </r>
  <r>
    <x v="1"/>
    <x v="3"/>
    <x v="5"/>
    <x v="9"/>
    <x v="1"/>
    <x v="2"/>
    <s v="030303 - 1.1.01.02.104.02.01.01 - 150"/>
    <s v=" 150"/>
    <s v="Impuesto al consumo de vinos, aperitivos y similares - Componente Específico - Nacional"/>
    <n v="124968007"/>
  </r>
  <r>
    <x v="1"/>
    <x v="3"/>
    <x v="5"/>
    <x v="9"/>
    <x v="1"/>
    <x v="2"/>
    <s v="030303 - 1.1.01.02.104.02.01.02 - 150"/>
    <s v=" 150"/>
    <s v="Impuesto al consumo de vinos, aperitivos y similares - Componente Específico - Extranjero"/>
    <n v="195403435"/>
  </r>
  <r>
    <x v="0"/>
    <x v="0"/>
    <x v="0"/>
    <x v="0"/>
    <x v="0"/>
    <x v="0"/>
    <s v="030303 - 1.1.01.02.104.02.02"/>
    <m/>
    <s v="Impuesto al consumo de vinos, aperitivos y similares - Componente Ad Valorem"/>
    <n v="431206657"/>
  </r>
  <r>
    <x v="1"/>
    <x v="3"/>
    <x v="5"/>
    <x v="9"/>
    <x v="1"/>
    <x v="2"/>
    <s v="030303 - 1.1.01.02.104.02.02.01 - 150"/>
    <s v=" 150"/>
    <s v="Impuesto al consumo de vinos, aperitivos y similares - Componente Ad Valorem - Nacional"/>
    <n v="138101501"/>
  </r>
  <r>
    <x v="1"/>
    <x v="3"/>
    <x v="5"/>
    <x v="9"/>
    <x v="1"/>
    <x v="2"/>
    <s v="030303 - 1.1.01.02.104.02.02.02 - 150"/>
    <s v=" 150"/>
    <s v="Impuesto al consumo de vinos, aperitivos y similares - Componente Ad Valorem - Extranjero"/>
    <n v="293105156"/>
  </r>
  <r>
    <x v="0"/>
    <x v="0"/>
    <x v="0"/>
    <x v="0"/>
    <x v="0"/>
    <x v="0"/>
    <s v="030303 - 1.1.01.02.105"/>
    <m/>
    <s v="Impuesto al consumo de cervezas, sifones, refajos y mezclas"/>
    <n v="4448519826"/>
  </r>
  <r>
    <x v="0"/>
    <x v="0"/>
    <x v="0"/>
    <x v="0"/>
    <x v="0"/>
    <x v="0"/>
    <s v="030303 - 1.1.01.02.105.01"/>
    <m/>
    <s v="Impuesto al consumo de cervezas, sifones, refajos y mezclas - Nacionales"/>
    <n v="4446770946"/>
  </r>
  <r>
    <x v="1"/>
    <x v="3"/>
    <x v="5"/>
    <x v="9"/>
    <x v="1"/>
    <x v="2"/>
    <s v="030303 - 1.1.01.02.105.01.01 - 29"/>
    <s v="- 29"/>
    <s v="Impuesto al consumo de cervezas, sifones, refajos y mezclas - Nacionales"/>
    <n v="4446770946"/>
  </r>
  <r>
    <x v="0"/>
    <x v="0"/>
    <x v="0"/>
    <x v="0"/>
    <x v="0"/>
    <x v="0"/>
    <s v="030303 - 1.1.01.02.105.02"/>
    <m/>
    <s v="Impuesto al consumo de cervezas, sifones, refajos y mezclas - Extranjeras"/>
    <n v="1748880"/>
  </r>
  <r>
    <x v="1"/>
    <x v="3"/>
    <x v="5"/>
    <x v="9"/>
    <x v="1"/>
    <x v="2"/>
    <s v="030303 - 1.1.01.02.105.02.02 - 29"/>
    <s v="- 29"/>
    <s v="Impuesto al consumo de cervezas, sifones, refajos y mezclas - Extranjeras"/>
    <n v="1748880"/>
  </r>
  <r>
    <x v="0"/>
    <x v="0"/>
    <x v="0"/>
    <x v="0"/>
    <x v="0"/>
    <x v="0"/>
    <s v="030303 - 1.1.02"/>
    <m/>
    <s v="Ingresos no tributarios"/>
    <n v="12435541098"/>
  </r>
  <r>
    <x v="0"/>
    <x v="0"/>
    <x v="0"/>
    <x v="0"/>
    <x v="0"/>
    <x v="0"/>
    <s v="030303 - 1.1.02.06"/>
    <m/>
    <s v="Transferencias corrientes"/>
    <n v="9252949350"/>
  </r>
  <r>
    <x v="0"/>
    <x v="0"/>
    <x v="0"/>
    <x v="0"/>
    <x v="0"/>
    <x v="0"/>
    <s v="030303 - 1.1.02.06.001"/>
    <m/>
    <s v="Sistema General de Participaciones"/>
    <n v="9252949350"/>
  </r>
  <r>
    <x v="0"/>
    <x v="0"/>
    <x v="0"/>
    <x v="0"/>
    <x v="0"/>
    <x v="0"/>
    <s v="030303 - 1.1.02.06.001.02"/>
    <m/>
    <s v="Participación para salud"/>
    <n v="9252949350"/>
  </r>
  <r>
    <x v="0"/>
    <x v="0"/>
    <x v="0"/>
    <x v="0"/>
    <x v="0"/>
    <x v="0"/>
    <s v="030303 - 1.1.02.06.001.02.04"/>
    <m/>
    <s v="Subsidio a la oferta"/>
    <n v="9252949350"/>
  </r>
  <r>
    <x v="1"/>
    <x v="3"/>
    <x v="5"/>
    <x v="4"/>
    <x v="1"/>
    <x v="2"/>
    <s v="030303 - 1.1.02.06.001.02.04.01 - 30"/>
    <s v="- 30"/>
    <s v="Subsidio a la oferta"/>
    <n v="9252949350"/>
  </r>
  <r>
    <x v="0"/>
    <x v="0"/>
    <x v="0"/>
    <x v="0"/>
    <x v="0"/>
    <x v="0"/>
    <s v="030303 - 1.1.02.07"/>
    <m/>
    <s v="Participación y derechos por monopolio"/>
    <n v="3182591748"/>
  </r>
  <r>
    <x v="0"/>
    <x v="0"/>
    <x v="0"/>
    <x v="0"/>
    <x v="0"/>
    <x v="0"/>
    <s v="030303 - 1.1.02.07.002"/>
    <m/>
    <s v="Participación y derechos de explotación del ejercicio del monopolio de licores destilados y alcohole"/>
    <n v="3182591748"/>
  </r>
  <r>
    <x v="0"/>
    <x v="0"/>
    <x v="0"/>
    <x v="0"/>
    <x v="0"/>
    <x v="0"/>
    <s v="030303 - 1.1.02.07.002.01"/>
    <m/>
    <s v="Participación y derechos de explotación del ejercicio del monopolio de licores destilados"/>
    <n v="3182591748"/>
  </r>
  <r>
    <x v="0"/>
    <x v="0"/>
    <x v="0"/>
    <x v="0"/>
    <x v="0"/>
    <x v="0"/>
    <s v="030303 - 1.1.02.07.002.01.02"/>
    <m/>
    <s v="Derechos de monopolio por la introducción de licores destilados"/>
    <n v="3182591748"/>
  </r>
  <r>
    <x v="0"/>
    <x v="0"/>
    <x v="0"/>
    <x v="0"/>
    <x v="0"/>
    <x v="0"/>
    <s v="030303 - 1.1.02.07.002.01.02.01"/>
    <m/>
    <s v="Derechos de monopolio por la introducción de licores destilados de producción nacional"/>
    <n v="124184943"/>
  </r>
  <r>
    <x v="1"/>
    <x v="3"/>
    <x v="5"/>
    <x v="9"/>
    <x v="1"/>
    <x v="2"/>
    <s v="030303 - 1.1.02.07.002.01.02.01.01 - 150"/>
    <s v=" 150"/>
    <s v="Derechos de monopolio por la introducción de licores destilados de producción nacional"/>
    <n v="124184943"/>
  </r>
  <r>
    <x v="0"/>
    <x v="0"/>
    <x v="0"/>
    <x v="0"/>
    <x v="0"/>
    <x v="0"/>
    <s v="030303 - 1.1.02.07.002.01.02.02"/>
    <m/>
    <s v="Derechos de monopolio por la introducción de licores destilados de producción extranjera"/>
    <n v="51060175"/>
  </r>
  <r>
    <x v="1"/>
    <x v="3"/>
    <x v="5"/>
    <x v="9"/>
    <x v="1"/>
    <x v="2"/>
    <s v="030303 - 1.1.02.07.002.01.02.02.02 - 150"/>
    <s v=" 150"/>
    <s v="Derechos de monopolio por la introducción de licores destilados de producción extranjera"/>
    <n v="51060175"/>
  </r>
  <r>
    <x v="0"/>
    <x v="0"/>
    <x v="0"/>
    <x v="0"/>
    <x v="0"/>
    <x v="0"/>
    <s v="030303 - 1.1.02.07.002.01.03"/>
    <m/>
    <s v="Participación por el consumo de licores destilados"/>
    <n v="3007346630"/>
  </r>
  <r>
    <x v="0"/>
    <x v="0"/>
    <x v="0"/>
    <x v="0"/>
    <x v="0"/>
    <x v="0"/>
    <s v="030303 - 1.1.02.07.002.01.03.02"/>
    <m/>
    <s v="Participación por el consumo de licores destilados introducidos"/>
    <n v="3007346630"/>
  </r>
  <r>
    <x v="0"/>
    <x v="0"/>
    <x v="0"/>
    <x v="0"/>
    <x v="0"/>
    <x v="0"/>
    <s v="030303 - 1.1.02.07.002.01.03.02.01"/>
    <m/>
    <s v="Participación por el consumo de licores destilados introducidos de producción nacional"/>
    <n v="1995824348"/>
  </r>
  <r>
    <x v="1"/>
    <x v="3"/>
    <x v="5"/>
    <x v="9"/>
    <x v="1"/>
    <x v="2"/>
    <s v="030303 - 1.1.02.07.002.01.03.02.01.01 - 150"/>
    <s v=" 150"/>
    <s v="Participación por el consumo de licores destilados introducidos de producción nacional"/>
    <n v="1995824348"/>
  </r>
  <r>
    <x v="0"/>
    <x v="0"/>
    <x v="0"/>
    <x v="0"/>
    <x v="0"/>
    <x v="0"/>
    <s v="030303 - 1.1.02.07.002.01.03.02.02"/>
    <m/>
    <s v="Participación por el consumo de licores destilados introducidos de producción extranjera"/>
    <n v="1011522282"/>
  </r>
  <r>
    <x v="0"/>
    <x v="0"/>
    <x v="0"/>
    <x v="0"/>
    <x v="0"/>
    <x v="0"/>
    <s v="030303 - 1.1.02.07.002.01.03.02.02.01"/>
    <m/>
    <s v="Participación por el consumo de licores destilados introducidos de producción extranjera recaudado p"/>
    <n v="1011522282"/>
  </r>
  <r>
    <x v="1"/>
    <x v="3"/>
    <x v="5"/>
    <x v="9"/>
    <x v="1"/>
    <x v="2"/>
    <s v="030303 - 1.1.02.07.002.01.03.02.02.01.02 - 150"/>
    <s v=" 150"/>
    <s v="Participación por el consumo de licores destilados introducidos de producción extranjera recaudado p"/>
    <n v="1011522282"/>
  </r>
  <r>
    <x v="0"/>
    <x v="0"/>
    <x v="0"/>
    <x v="0"/>
    <x v="0"/>
    <x v="0"/>
    <s v="030303 - 1.2"/>
    <m/>
    <s v="Recursos de capital"/>
    <n v="0"/>
  </r>
  <r>
    <x v="0"/>
    <x v="0"/>
    <x v="0"/>
    <x v="0"/>
    <x v="0"/>
    <x v="0"/>
    <s v="030303 - 1.2.05"/>
    <m/>
    <s v="Rendimientos financieros"/>
    <n v="0"/>
  </r>
  <r>
    <x v="0"/>
    <x v="0"/>
    <x v="0"/>
    <x v="0"/>
    <x v="0"/>
    <x v="0"/>
    <s v="030303 - 1.2.05.02"/>
    <m/>
    <s v="Depósitos"/>
    <n v="0"/>
  </r>
  <r>
    <x v="1"/>
    <x v="3"/>
    <x v="5"/>
    <x v="9"/>
    <x v="2"/>
    <x v="5"/>
    <s v="030303 - 1.2.05.02.001 - 150F"/>
    <s v="150F"/>
    <s v="Depósitos"/>
    <n v="0"/>
  </r>
  <r>
    <x v="1"/>
    <x v="3"/>
    <x v="5"/>
    <x v="9"/>
    <x v="2"/>
    <x v="5"/>
    <s v="030303 - 1.2.05.02.001 - 29F"/>
    <s v=" 29F"/>
    <s v="Depósitos"/>
    <n v="0"/>
  </r>
  <r>
    <x v="1"/>
    <x v="3"/>
    <x v="5"/>
    <x v="4"/>
    <x v="2"/>
    <x v="5"/>
    <s v="030303 - 1.2.05.02.001 - 30F"/>
    <s v=" 30F"/>
    <s v="Depósitos"/>
    <n v="0"/>
  </r>
  <r>
    <x v="0"/>
    <x v="0"/>
    <x v="0"/>
    <x v="0"/>
    <x v="0"/>
    <x v="0"/>
    <s v="030303 - 1.2.10"/>
    <m/>
    <s v="Recursos del balance"/>
    <n v="0"/>
  </r>
  <r>
    <x v="0"/>
    <x v="0"/>
    <x v="0"/>
    <x v="0"/>
    <x v="0"/>
    <x v="0"/>
    <s v="030303 - 1.2.10.02"/>
    <m/>
    <s v="Superávit fiscal"/>
    <n v="0"/>
  </r>
  <r>
    <x v="1"/>
    <x v="3"/>
    <x v="5"/>
    <x v="9"/>
    <x v="2"/>
    <x v="8"/>
    <s v="030303 - 1.2.10.02.001 - 103A"/>
    <s v="103A"/>
    <s v="Superávit fiscal"/>
    <m/>
  </r>
  <r>
    <x v="1"/>
    <x v="3"/>
    <x v="5"/>
    <x v="9"/>
    <x v="2"/>
    <x v="8"/>
    <s v="030303 - 1.2.10.02.001 - 103R"/>
    <s v="103R"/>
    <s v="Superávit fiscal"/>
    <m/>
  </r>
  <r>
    <x v="1"/>
    <x v="3"/>
    <x v="5"/>
    <x v="9"/>
    <x v="2"/>
    <x v="8"/>
    <s v="030303 - 1.2.10.02.001 - 149R"/>
    <s v="149R"/>
    <s v="Superávit fiscal"/>
    <m/>
  </r>
  <r>
    <x v="1"/>
    <x v="3"/>
    <x v="5"/>
    <x v="9"/>
    <x v="2"/>
    <x v="8"/>
    <s v="030303 - 1.2.10.02.001 - 150R"/>
    <s v="150R"/>
    <s v="Superávit fiscal"/>
    <m/>
  </r>
  <r>
    <x v="1"/>
    <x v="3"/>
    <x v="5"/>
    <x v="9"/>
    <x v="2"/>
    <x v="8"/>
    <s v="030303 - 1.2.10.02.001 - 29RB"/>
    <s v="29RB"/>
    <s v="Superávit fiscal"/>
    <m/>
  </r>
  <r>
    <x v="1"/>
    <x v="3"/>
    <x v="5"/>
    <x v="4"/>
    <x v="2"/>
    <x v="8"/>
    <s v="030303 - 1.2.10.02.001 - 30RB"/>
    <s v="30RB"/>
    <s v="Superávit fiscal"/>
    <m/>
  </r>
  <r>
    <x v="1"/>
    <x v="3"/>
    <x v="5"/>
    <x v="9"/>
    <x v="2"/>
    <x v="8"/>
    <s v="030303 - 1.2.10.02.001 - 70RB"/>
    <s v="70RB"/>
    <s v="Superávit fiscal"/>
    <m/>
  </r>
  <r>
    <x v="1"/>
    <x v="3"/>
    <x v="5"/>
    <x v="9"/>
    <x v="2"/>
    <x v="8"/>
    <s v="030303 - 1.2.10.02.001 - 71RB"/>
    <s v="71RB"/>
    <s v="Superávit fiscal"/>
    <m/>
  </r>
  <r>
    <x v="1"/>
    <x v="3"/>
    <x v="5"/>
    <x v="9"/>
    <x v="2"/>
    <x v="8"/>
    <s v="030303 - 1.2.10.02.001 - 72RB"/>
    <s v="72RB"/>
    <s v="Superávit fiscal"/>
    <m/>
  </r>
  <r>
    <x v="1"/>
    <x v="3"/>
    <x v="5"/>
    <x v="9"/>
    <x v="2"/>
    <x v="8"/>
    <s v="030303 - 1.2.10.02.001 - 84RB"/>
    <s v="84RB"/>
    <s v="Superávit fiscal"/>
    <m/>
  </r>
  <r>
    <x v="1"/>
    <x v="3"/>
    <x v="5"/>
    <x v="9"/>
    <x v="2"/>
    <x v="8"/>
    <s v="030303 - 1.2.10.02.001 - 89RB"/>
    <s v="89RB"/>
    <s v="Superávit fiscal"/>
    <m/>
  </r>
  <r>
    <x v="0"/>
    <x v="0"/>
    <x v="0"/>
    <x v="0"/>
    <x v="0"/>
    <x v="0"/>
    <s v="030303 - 1.2.13"/>
    <m/>
    <s v="Reintegros y otros recursos no apropiados"/>
    <n v="0"/>
  </r>
  <r>
    <x v="0"/>
    <x v="0"/>
    <x v="0"/>
    <x v="0"/>
    <x v="0"/>
    <x v="0"/>
    <s v="030303 - 1.2.13.01"/>
    <m/>
    <s v="Reintegros"/>
    <n v="0"/>
  </r>
  <r>
    <x v="1"/>
    <x v="3"/>
    <x v="5"/>
    <x v="4"/>
    <x v="2"/>
    <x v="9"/>
    <s v="030303 - 1.2.13.01.001 - 30"/>
    <s v="- 30"/>
    <s v="Reintegros"/>
    <n v="0"/>
  </r>
  <r>
    <x v="0"/>
    <x v="0"/>
    <x v="0"/>
    <x v="0"/>
    <x v="0"/>
    <x v="0"/>
    <s v="030304"/>
    <m/>
    <s v="SUBCUENTA DE REGIMEN SUBSIDIADO DE SALUD"/>
    <n v="64394687927"/>
  </r>
  <r>
    <x v="0"/>
    <x v="0"/>
    <x v="0"/>
    <x v="0"/>
    <x v="0"/>
    <x v="0"/>
    <s v="030304 - 1"/>
    <m/>
    <s v="Ingresos"/>
    <n v="64394687927"/>
  </r>
  <r>
    <x v="0"/>
    <x v="0"/>
    <x v="0"/>
    <x v="0"/>
    <x v="0"/>
    <x v="0"/>
    <s v="030304 - 1.1"/>
    <m/>
    <s v="Ingresos Corrientes"/>
    <n v="62699641878"/>
  </r>
  <r>
    <x v="0"/>
    <x v="0"/>
    <x v="0"/>
    <x v="0"/>
    <x v="0"/>
    <x v="0"/>
    <s v="030304 - 1.1.01"/>
    <m/>
    <s v="Ingresos tributarios"/>
    <n v="46881450025"/>
  </r>
  <r>
    <x v="0"/>
    <x v="0"/>
    <x v="0"/>
    <x v="0"/>
    <x v="0"/>
    <x v="0"/>
    <s v="030304 - 1.1.01.01"/>
    <m/>
    <s v="Impuestos directos"/>
    <n v="708658054"/>
  </r>
  <r>
    <x v="0"/>
    <x v="0"/>
    <x v="0"/>
    <x v="0"/>
    <x v="0"/>
    <x v="0"/>
    <s v="030304 - 1.1.01.01.101"/>
    <m/>
    <s v="Impuesto a ganadores de sorteos ordinarios y extraordinarios"/>
    <n v="708658054"/>
  </r>
  <r>
    <x v="1"/>
    <x v="3"/>
    <x v="6"/>
    <x v="9"/>
    <x v="1"/>
    <x v="1"/>
    <s v="030304 - 1.1.01.01.101.01 - 71A"/>
    <s v=" 71A"/>
    <s v="Impuesto a ganadores de sorteos ordinarios y extraordinarios"/>
    <n v="708658054"/>
  </r>
  <r>
    <x v="0"/>
    <x v="0"/>
    <x v="0"/>
    <x v="0"/>
    <x v="0"/>
    <x v="0"/>
    <s v="030304 - 1.1.01.02"/>
    <m/>
    <s v="Impuestos indirectos"/>
    <n v="46172791971"/>
  </r>
  <r>
    <x v="0"/>
    <x v="0"/>
    <x v="0"/>
    <x v="0"/>
    <x v="0"/>
    <x v="0"/>
    <s v="030304 - 1.1.01.02.101"/>
    <m/>
    <s v="Impuesto de loterías foráneas"/>
    <n v="713183269"/>
  </r>
  <r>
    <x v="1"/>
    <x v="3"/>
    <x v="6"/>
    <x v="9"/>
    <x v="1"/>
    <x v="2"/>
    <s v="030304 - 1.1.01.02.101.01 - 72"/>
    <s v="- 72"/>
    <s v="Impuesto de loterías foráneas"/>
    <n v="0"/>
  </r>
  <r>
    <x v="1"/>
    <x v="3"/>
    <x v="6"/>
    <x v="9"/>
    <x v="1"/>
    <x v="2"/>
    <s v="030304 - 1.1.01.02.101.01 - 72A"/>
    <s v=" 72A"/>
    <s v="Impuesto de loterías foráneas"/>
    <n v="713183269"/>
  </r>
  <r>
    <x v="0"/>
    <x v="0"/>
    <x v="0"/>
    <x v="0"/>
    <x v="0"/>
    <x v="0"/>
    <s v="030304 - 1.1.01.02.103"/>
    <m/>
    <s v="IVA sobre licores, vinos, aperitivos y similares (régimen anterior)"/>
    <n v="0"/>
  </r>
  <r>
    <x v="1"/>
    <x v="3"/>
    <x v="6"/>
    <x v="9"/>
    <x v="1"/>
    <x v="2"/>
    <s v="030304 - 1.1.01.02.103.01 - 150A"/>
    <s v="150A"/>
    <s v="IVA sobre licores, vinos, aperitivos y similares (régimen anterior)"/>
    <n v="0"/>
  </r>
  <r>
    <x v="0"/>
    <x v="0"/>
    <x v="0"/>
    <x v="0"/>
    <x v="0"/>
    <x v="0"/>
    <s v="030304 - 1.1.01.02.104"/>
    <m/>
    <s v="Impuesto al consumo de licores, vinos, aperitivos y similares"/>
    <n v="1230361233"/>
  </r>
  <r>
    <x v="0"/>
    <x v="0"/>
    <x v="0"/>
    <x v="0"/>
    <x v="0"/>
    <x v="0"/>
    <s v="030304 - 1.1.01.02.104.02"/>
    <m/>
    <s v="Impuesto al consumo de vinos, aperitivos y similares"/>
    <n v="1230361233"/>
  </r>
  <r>
    <x v="0"/>
    <x v="0"/>
    <x v="0"/>
    <x v="0"/>
    <x v="0"/>
    <x v="0"/>
    <s v="030304 - 1.1.01.02.104.02.01"/>
    <m/>
    <s v="Impuesto al consumo de vinos, aperitivos y similares - Componente Específico"/>
    <n v="531624896"/>
  </r>
  <r>
    <x v="1"/>
    <x v="3"/>
    <x v="6"/>
    <x v="9"/>
    <x v="1"/>
    <x v="2"/>
    <s v="030304 - 1.1.01.02.104.02.01.01 - 150"/>
    <s v=" 150"/>
    <s v="Impuesto al consumo de vinos, aperitivos y similares - Componente Específico - Nacional"/>
    <n v="249935979"/>
  </r>
  <r>
    <x v="1"/>
    <x v="3"/>
    <x v="6"/>
    <x v="9"/>
    <x v="1"/>
    <x v="2"/>
    <s v="030304 - 1.1.01.02.104.02.01.02 - 150A"/>
    <s v="150A"/>
    <s v="Impuesto al consumo de vinos, aperitivos y similares - Componente Específico - Extranjero"/>
    <n v="281688917"/>
  </r>
  <r>
    <x v="0"/>
    <x v="0"/>
    <x v="0"/>
    <x v="0"/>
    <x v="0"/>
    <x v="0"/>
    <s v="030304 - 1.1.01.02.104.02.02"/>
    <m/>
    <s v="Impuesto al consumo de vinos, aperitivos y similares - Componente Ad Valorem"/>
    <n v="698736337"/>
  </r>
  <r>
    <x v="1"/>
    <x v="3"/>
    <x v="6"/>
    <x v="9"/>
    <x v="1"/>
    <x v="2"/>
    <s v="030304 - 1.1.01.02.104.02.02.01 - 150"/>
    <s v=" 150"/>
    <s v="Impuesto al consumo de vinos, aperitivos y similares - Componente Ad Valorem - Nacional"/>
    <n v="276202964"/>
  </r>
  <r>
    <x v="1"/>
    <x v="3"/>
    <x v="6"/>
    <x v="9"/>
    <x v="1"/>
    <x v="2"/>
    <s v="030304 - 1.1.01.02.104.02.02.02 - 150A"/>
    <s v="150A"/>
    <s v="Impuesto al consumo de vinos, aperitivos y similares - Componente Ad Valorem - Extranjero"/>
    <n v="422533373"/>
  </r>
  <r>
    <x v="0"/>
    <x v="0"/>
    <x v="0"/>
    <x v="0"/>
    <x v="0"/>
    <x v="0"/>
    <s v="030304 - 1.1.01.02.105"/>
    <m/>
    <s v="Impuesto al consumo de cervezas, sifones, refajos y mezclas"/>
    <n v="8897038699"/>
  </r>
  <r>
    <x v="0"/>
    <x v="0"/>
    <x v="0"/>
    <x v="0"/>
    <x v="0"/>
    <x v="0"/>
    <s v="030304 - 1.1.01.02.105.01"/>
    <m/>
    <s v="Impuesto al consumo de cervezas, sifones, refajos y mezclas - Nacionales"/>
    <n v="8893541892"/>
  </r>
  <r>
    <x v="1"/>
    <x v="3"/>
    <x v="6"/>
    <x v="9"/>
    <x v="1"/>
    <x v="2"/>
    <s v="030304 - 1.1.01.02.105.01.01 - 29"/>
    <s v="- 29"/>
    <s v="Impuesto al consumo de cervezas, sifones, refajos y mezclas - Nacionales"/>
    <n v="8893541892"/>
  </r>
  <r>
    <x v="0"/>
    <x v="0"/>
    <x v="0"/>
    <x v="0"/>
    <x v="0"/>
    <x v="0"/>
    <s v="030304 - 1.1.01.02.105.02"/>
    <m/>
    <s v="Impuesto al consumo de cervezas, sifones, refajos y mezclas - Extranjeras"/>
    <n v="3496807"/>
  </r>
  <r>
    <x v="1"/>
    <x v="3"/>
    <x v="6"/>
    <x v="9"/>
    <x v="1"/>
    <x v="2"/>
    <s v="030304 - 1.1.01.02.105.02.02 - 29"/>
    <s v="- 29"/>
    <s v="Impuesto al consumo de cervezas, sifones, refajos y mezclas - Extranjeras"/>
    <n v="0"/>
  </r>
  <r>
    <x v="1"/>
    <x v="3"/>
    <x v="6"/>
    <x v="9"/>
    <x v="1"/>
    <x v="2"/>
    <s v="030304 - 1.1.01.02.105.02.02 - 29A"/>
    <s v=" 29A"/>
    <s v="Impuesto al consumo de cervezas, sifones, refajos y mezclas - Extranjeras"/>
    <n v="3496807"/>
  </r>
  <r>
    <x v="0"/>
    <x v="0"/>
    <x v="0"/>
    <x v="0"/>
    <x v="0"/>
    <x v="0"/>
    <s v="030304 - 1.1.01.02.106"/>
    <m/>
    <s v="Impuesto al consumo de cigarrillos y tabaco"/>
    <n v="35332208770"/>
  </r>
  <r>
    <x v="0"/>
    <x v="0"/>
    <x v="0"/>
    <x v="0"/>
    <x v="0"/>
    <x v="0"/>
    <s v="030304 - 1.1.01.02.106.01"/>
    <m/>
    <s v="Componente específico del impuesto al consumo de cigarrillos y tabaco"/>
    <n v="0"/>
  </r>
  <r>
    <x v="0"/>
    <x v="0"/>
    <x v="0"/>
    <x v="0"/>
    <x v="0"/>
    <x v="0"/>
    <s v="030304 - 1.1.01.02.106.01.02"/>
    <m/>
    <s v="Componente específico del impuesto al consumo de cigarrillos y tabaco - Extranjeros"/>
    <m/>
  </r>
  <r>
    <x v="0"/>
    <x v="0"/>
    <x v="0"/>
    <x v="0"/>
    <x v="0"/>
    <x v="0"/>
    <s v="030304 - 1.1.01.02.106.02"/>
    <m/>
    <s v="Componente ad valorem del impuesto al consumo de cigarrillos y tabaco elaborado"/>
    <n v="35332208770"/>
  </r>
  <r>
    <x v="0"/>
    <x v="0"/>
    <x v="0"/>
    <x v="0"/>
    <x v="0"/>
    <x v="0"/>
    <s v="030304 - 1.1.01.02.106.02.02"/>
    <m/>
    <s v="Componente ad valorem del impuesto al consumo de cigarrillos y tabaco elaborado - Extranjeros"/>
    <n v="35332208770"/>
  </r>
  <r>
    <x v="1"/>
    <x v="3"/>
    <x v="6"/>
    <x v="9"/>
    <x v="1"/>
    <x v="2"/>
    <s v="030304 - 1.1.01.02.106.01.02.02 - 56"/>
    <s v="- 56"/>
    <s v="Componente específico del impuesto al consumo de cigarrillos y tabaco - Extranjeros"/>
    <n v="25439190315"/>
  </r>
  <r>
    <x v="1"/>
    <x v="3"/>
    <x v="6"/>
    <x v="9"/>
    <x v="1"/>
    <x v="2"/>
    <s v="030304 - 1.1.01.02.106.02.02.02 - 56A"/>
    <s v=" 56A"/>
    <s v="Componente ad valorem del impuesto al consumo de cigarrillos y tabaco elaborado - Extranjeros"/>
    <n v="9893018455"/>
  </r>
  <r>
    <x v="0"/>
    <x v="0"/>
    <x v="0"/>
    <x v="0"/>
    <x v="0"/>
    <x v="0"/>
    <s v="030304 - 1.1.02"/>
    <m/>
    <s v="Ingresos no tributarios"/>
    <n v="15818191853"/>
  </r>
  <r>
    <x v="0"/>
    <x v="0"/>
    <x v="0"/>
    <x v="0"/>
    <x v="0"/>
    <x v="0"/>
    <s v="030304 - 1.1.02.07"/>
    <m/>
    <s v="Participación y derechos por monopolio"/>
    <n v="15818191853"/>
  </r>
  <r>
    <x v="0"/>
    <x v="0"/>
    <x v="0"/>
    <x v="0"/>
    <x v="0"/>
    <x v="0"/>
    <s v="030304 - 1.1.02.07.001"/>
    <m/>
    <s v="Derechos por la explotación juegos de suerte y azar"/>
    <n v="9180213392"/>
  </r>
  <r>
    <x v="0"/>
    <x v="0"/>
    <x v="0"/>
    <x v="0"/>
    <x v="0"/>
    <x v="0"/>
    <s v="030304 - 1.1.02.07.001.03"/>
    <m/>
    <s v="Derechos por la explotación juegos de suerte y azar de lotería tradicional"/>
    <n v="2167426947"/>
  </r>
  <r>
    <x v="1"/>
    <x v="3"/>
    <x v="6"/>
    <x v="9"/>
    <x v="1"/>
    <x v="2"/>
    <s v="030304 - 1.1.02.07.001.03.01 - 71A"/>
    <s v=" 71A"/>
    <s v="Derechos por la explotación juegos de suerte y azar de lotería tradicional"/>
    <n v="2167426947"/>
  </r>
  <r>
    <x v="0"/>
    <x v="0"/>
    <x v="0"/>
    <x v="0"/>
    <x v="0"/>
    <x v="0"/>
    <s v="030304 - 1.1.02.07.001.04"/>
    <m/>
    <s v="Derechos por la explotación juegos de suerte y azar de apuestas permanentes o chance"/>
    <n v="4943367666"/>
  </r>
  <r>
    <x v="1"/>
    <x v="3"/>
    <x v="6"/>
    <x v="9"/>
    <x v="1"/>
    <x v="2"/>
    <s v="030304 - 1.1.02.07.001.04.01 - 70A"/>
    <s v=" 70A"/>
    <s v="Derechos por la explotación juegos de suerte y azar de apuestas permanentes o chance"/>
    <n v="4943367666"/>
  </r>
  <r>
    <x v="0"/>
    <x v="0"/>
    <x v="0"/>
    <x v="0"/>
    <x v="0"/>
    <x v="0"/>
    <s v="030304 - 1.1.02.07.001.06"/>
    <m/>
    <s v="Derechos por la explotación juegos de suerte y azar de juegos promocionales"/>
    <n v="104198459"/>
  </r>
  <r>
    <x v="1"/>
    <x v="3"/>
    <x v="6"/>
    <x v="9"/>
    <x v="1"/>
    <x v="2"/>
    <s v="030304 - 1.1.02.07.001.06.01 - 103A"/>
    <s v="103A"/>
    <s v="Derechos por la explotación juegos de suerte y azar de juegos promocionales"/>
    <n v="104198459"/>
  </r>
  <r>
    <x v="0"/>
    <x v="0"/>
    <x v="0"/>
    <x v="0"/>
    <x v="0"/>
    <x v="0"/>
    <s v="030304 - 1.1.02.07.001.09"/>
    <m/>
    <s v="Derechos por la explotación juegos de suerte y azar de juegos novedosos"/>
    <n v="1965220320"/>
  </r>
  <r>
    <x v="1"/>
    <x v="3"/>
    <x v="6"/>
    <x v="9"/>
    <x v="1"/>
    <x v="2"/>
    <s v="030304 - 1.1.02.07.001.09.01 - 89"/>
    <s v="- 89"/>
    <s v="Derechos por la explotación juegos de suerte y azar de juegos novedosos"/>
    <n v="0"/>
  </r>
  <r>
    <x v="1"/>
    <x v="3"/>
    <x v="6"/>
    <x v="9"/>
    <x v="1"/>
    <x v="2"/>
    <s v="030304 - 1.1.02.07.001.09.01 - 89A"/>
    <s v=" 89A"/>
    <s v="Derechos por la explotación juegos de suerte y azar de juegos novedosos"/>
    <n v="1965220320"/>
  </r>
  <r>
    <x v="0"/>
    <x v="0"/>
    <x v="0"/>
    <x v="0"/>
    <x v="0"/>
    <x v="0"/>
    <s v="030304 - 1.1.02.07.002"/>
    <m/>
    <s v="Participación y derechos de explotación del ejercicio del monopolio de licores destilados y alcohole"/>
    <n v="6637978461"/>
  </r>
  <r>
    <x v="0"/>
    <x v="0"/>
    <x v="0"/>
    <x v="0"/>
    <x v="0"/>
    <x v="0"/>
    <s v="030304 - 1.1.02.07.002.01"/>
    <m/>
    <s v="Participación y derechos de explotación del ejercicio del monopolio de licores destilados"/>
    <n v="6637978461"/>
  </r>
  <r>
    <x v="0"/>
    <x v="0"/>
    <x v="0"/>
    <x v="0"/>
    <x v="0"/>
    <x v="0"/>
    <s v="030304 - 1.1.02.07.002.01.02"/>
    <m/>
    <s v="Derechos de monopolio por la introducción de licores destilados"/>
    <n v="350490188"/>
  </r>
  <r>
    <x v="0"/>
    <x v="0"/>
    <x v="0"/>
    <x v="0"/>
    <x v="0"/>
    <x v="0"/>
    <s v="030304 - 1.1.02.07.002.01.02.01"/>
    <m/>
    <s v="Derechos de monopolio por la introducción de licores destilados de producción nacional"/>
    <n v="248369853"/>
  </r>
  <r>
    <x v="1"/>
    <x v="3"/>
    <x v="6"/>
    <x v="9"/>
    <x v="1"/>
    <x v="2"/>
    <s v="030304 - 1.1.02.07.002.01.02.01.01 - 150"/>
    <s v=" 150"/>
    <s v="Derechos de monopolio por la introducción de licores destilados de producción nacional"/>
    <n v="248369853"/>
  </r>
  <r>
    <x v="0"/>
    <x v="0"/>
    <x v="0"/>
    <x v="0"/>
    <x v="0"/>
    <x v="0"/>
    <s v="030304 - 1.1.02.07.002.01.02.02"/>
    <m/>
    <s v="Derechos de monopolio por la introducción de licores destilados de producción extranjera"/>
    <n v="102120335"/>
  </r>
  <r>
    <x v="1"/>
    <x v="3"/>
    <x v="6"/>
    <x v="9"/>
    <x v="1"/>
    <x v="2"/>
    <s v="030304 - 1.1.02.07.002.01.02.02.02 - 150"/>
    <s v=" 150"/>
    <s v="Derechos de monopolio por la introducción de licores destilados de producción extranjera"/>
    <n v="102120335"/>
  </r>
  <r>
    <x v="0"/>
    <x v="0"/>
    <x v="0"/>
    <x v="0"/>
    <x v="0"/>
    <x v="0"/>
    <s v="030304 - 1.1.02.07.002.01.03"/>
    <m/>
    <s v="Participación por el consumo de licores destilados"/>
    <n v="6287488273"/>
  </r>
  <r>
    <x v="0"/>
    <x v="0"/>
    <x v="0"/>
    <x v="0"/>
    <x v="0"/>
    <x v="0"/>
    <s v="030304 - 1.1.02.07.002.01.03.02"/>
    <m/>
    <s v="Participación por el consumo de licores destilados introducidos"/>
    <n v="6287488273"/>
  </r>
  <r>
    <x v="0"/>
    <x v="0"/>
    <x v="0"/>
    <x v="0"/>
    <x v="0"/>
    <x v="0"/>
    <s v="030304 - 1.1.02.07.002.01.03.02.01"/>
    <m/>
    <s v="Participación por el consumo de licores destilados introducidos de producción nacional"/>
    <n v="3991648160"/>
  </r>
  <r>
    <x v="1"/>
    <x v="3"/>
    <x v="6"/>
    <x v="9"/>
    <x v="1"/>
    <x v="2"/>
    <s v="030304 - 1.1.02.07.002.01.03.02.01.01 - 150"/>
    <s v=" 150"/>
    <s v="Participación por el consumo de licores destilados introducidos de producción nacional"/>
    <n v="3991648160"/>
  </r>
  <r>
    <x v="0"/>
    <x v="0"/>
    <x v="0"/>
    <x v="0"/>
    <x v="0"/>
    <x v="0"/>
    <s v="030304 - 1.1.02.07.002.01.03.02.02"/>
    <m/>
    <s v="Participación por el consumo de licores destilados introducidos de producción extranjera"/>
    <n v="2295840113"/>
  </r>
  <r>
    <x v="0"/>
    <x v="0"/>
    <x v="0"/>
    <x v="0"/>
    <x v="0"/>
    <x v="0"/>
    <s v="030304 - 1.1.02.07.002.01.03.02.02.01"/>
    <m/>
    <s v="Participación por el consumo de licores destilados introducidos de producción extranjera recaudado p"/>
    <n v="2295840113"/>
  </r>
  <r>
    <x v="1"/>
    <x v="3"/>
    <x v="6"/>
    <x v="9"/>
    <x v="1"/>
    <x v="2"/>
    <s v="030304 - 1.1.02.07.002.01.03.02.02.01.02 - 150A"/>
    <s v="150A"/>
    <s v="Participación por el consumo de licores destilados introducidos de producción extranjera recaudado p"/>
    <n v="2295840113"/>
  </r>
  <r>
    <x v="0"/>
    <x v="0"/>
    <x v="0"/>
    <x v="0"/>
    <x v="0"/>
    <x v="0"/>
    <s v="030304 - 1.2"/>
    <m/>
    <s v="Recursos de capital"/>
    <n v="1695046049"/>
  </r>
  <r>
    <x v="0"/>
    <x v="0"/>
    <x v="0"/>
    <x v="0"/>
    <x v="0"/>
    <x v="0"/>
    <s v="030304 - 1.2.05"/>
    <m/>
    <s v="Rendimientos financieros"/>
    <n v="0"/>
  </r>
  <r>
    <x v="0"/>
    <x v="0"/>
    <x v="0"/>
    <x v="0"/>
    <x v="0"/>
    <x v="0"/>
    <s v="030304 - 1.2.05.02"/>
    <m/>
    <s v="Depósitos"/>
    <n v="0"/>
  </r>
  <r>
    <x v="1"/>
    <x v="3"/>
    <x v="6"/>
    <x v="9"/>
    <x v="2"/>
    <x v="5"/>
    <s v="030304 - 1.2.05.02.001 - 106F"/>
    <s v="106F"/>
    <s v="Depósitos"/>
    <n v="0"/>
  </r>
  <r>
    <x v="1"/>
    <x v="3"/>
    <x v="6"/>
    <x v="9"/>
    <x v="2"/>
    <x v="5"/>
    <s v="030304 - 1.2.05.02.001 - 29F"/>
    <s v=" 29F"/>
    <s v="Depósitos"/>
    <n v="0"/>
  </r>
  <r>
    <x v="1"/>
    <x v="3"/>
    <x v="6"/>
    <x v="9"/>
    <x v="2"/>
    <x v="5"/>
    <s v="030304 - 1.2.05.02.001 - 89F"/>
    <s v=" 89F"/>
    <s v="Depósitos"/>
    <n v="0"/>
  </r>
  <r>
    <x v="0"/>
    <x v="0"/>
    <x v="0"/>
    <x v="0"/>
    <x v="0"/>
    <x v="0"/>
    <s v="030304 - 1.2.08"/>
    <m/>
    <s v="Transferencias de capital"/>
    <n v="1695046049"/>
  </r>
  <r>
    <x v="0"/>
    <x v="0"/>
    <x v="0"/>
    <x v="0"/>
    <x v="0"/>
    <x v="0"/>
    <s v="030304 - 1.2.08.04"/>
    <m/>
    <s v="Premios no reclamados"/>
    <n v="1695046049"/>
  </r>
  <r>
    <x v="0"/>
    <x v="0"/>
    <x v="0"/>
    <x v="0"/>
    <x v="0"/>
    <x v="0"/>
    <s v="030304 - 1.2.08.04.001"/>
    <m/>
    <s v="Premios de juegos de suerte y azar"/>
    <n v="300533900"/>
  </r>
  <r>
    <x v="1"/>
    <x v="3"/>
    <x v="6"/>
    <x v="9"/>
    <x v="2"/>
    <x v="11"/>
    <s v="030304 - 1.2.08.04.001.01 - 76A"/>
    <s v=" 76A"/>
    <s v="Premios de juegos de suerte y azar"/>
    <n v="300533900"/>
  </r>
  <r>
    <x v="0"/>
    <x v="0"/>
    <x v="0"/>
    <x v="0"/>
    <x v="0"/>
    <x v="0"/>
    <s v="030304 - 1.2.08.04.002"/>
    <m/>
    <s v="Premios de loterias"/>
    <n v="681397330"/>
  </r>
  <r>
    <x v="1"/>
    <x v="3"/>
    <x v="6"/>
    <x v="9"/>
    <x v="2"/>
    <x v="11"/>
    <s v="030304 - 1.2.08.04.002.01 - 75A"/>
    <s v=" 75A"/>
    <s v="Premios de loterias"/>
    <n v="681397330"/>
  </r>
  <r>
    <x v="0"/>
    <x v="0"/>
    <x v="0"/>
    <x v="0"/>
    <x v="0"/>
    <x v="0"/>
    <s v="030304 - 1.2.08.04.003"/>
    <m/>
    <s v="Premios de apuestas permanentes o chance"/>
    <n v="713114819"/>
  </r>
  <r>
    <x v="1"/>
    <x v="3"/>
    <x v="6"/>
    <x v="9"/>
    <x v="2"/>
    <x v="11"/>
    <s v="030304 - 1.2.08.04.003.01 - 75A"/>
    <s v=" 75A"/>
    <s v="Premios de apuestas permanentes o chance"/>
    <n v="713114819"/>
  </r>
  <r>
    <x v="0"/>
    <x v="0"/>
    <x v="0"/>
    <x v="0"/>
    <x v="0"/>
    <x v="0"/>
    <s v="030304 - 1.2.13"/>
    <m/>
    <s v="Reintegros y otros recursos no apropiados"/>
    <n v="0"/>
  </r>
  <r>
    <x v="0"/>
    <x v="0"/>
    <x v="0"/>
    <x v="0"/>
    <x v="0"/>
    <x v="0"/>
    <s v="030304 - 1.2.13.01"/>
    <m/>
    <s v="Reintegros"/>
    <n v="0"/>
  </r>
  <r>
    <x v="1"/>
    <x v="3"/>
    <x v="6"/>
    <x v="9"/>
    <x v="2"/>
    <x v="9"/>
    <s v="030304 - 1.2.13.01.001 - 103A"/>
    <s v="103A"/>
    <s v="Reintegros"/>
    <m/>
  </r>
  <r>
    <x v="1"/>
    <x v="3"/>
    <x v="6"/>
    <x v="9"/>
    <x v="2"/>
    <x v="9"/>
    <s v="030304 - 1.2.13.01.001 - 150A"/>
    <s v="150A"/>
    <s v="Reintegros"/>
    <m/>
  </r>
  <r>
    <x v="1"/>
    <x v="3"/>
    <x v="6"/>
    <x v="9"/>
    <x v="2"/>
    <x v="9"/>
    <s v="030304 - 1.2.13.01.001 - 29A"/>
    <s v=" 29A"/>
    <s v="Reintegros"/>
    <m/>
  </r>
  <r>
    <x v="1"/>
    <x v="3"/>
    <x v="6"/>
    <x v="9"/>
    <x v="2"/>
    <x v="9"/>
    <s v="030304 - 1.2.13.01.001 - 56A"/>
    <s v=" 56A"/>
    <s v="Reintegros"/>
    <m/>
  </r>
  <r>
    <x v="1"/>
    <x v="3"/>
    <x v="6"/>
    <x v="9"/>
    <x v="2"/>
    <x v="9"/>
    <s v="030304 - 1.2.13.01.001 - 70A"/>
    <s v=" 70A"/>
    <s v="Reintegros"/>
    <m/>
  </r>
  <r>
    <x v="1"/>
    <x v="3"/>
    <x v="6"/>
    <x v="9"/>
    <x v="2"/>
    <x v="9"/>
    <s v="030304 - 1.2.13.01.001 - 71A"/>
    <s v=" 71A"/>
    <s v="Reintegros"/>
    <m/>
  </r>
  <r>
    <x v="1"/>
    <x v="3"/>
    <x v="6"/>
    <x v="9"/>
    <x v="2"/>
    <x v="9"/>
    <s v="030304 - 1.2.13.01.001 - 72A"/>
    <s v=" 72A"/>
    <s v="Reintegros"/>
    <m/>
  </r>
  <r>
    <x v="1"/>
    <x v="3"/>
    <x v="6"/>
    <x v="9"/>
    <x v="2"/>
    <x v="9"/>
    <s v="030304 - 1.2.13.01.001 - 75A"/>
    <s v=" 75A"/>
    <s v="Reintegros"/>
    <m/>
  </r>
  <r>
    <x v="0"/>
    <x v="0"/>
    <x v="0"/>
    <x v="0"/>
    <x v="0"/>
    <x v="0"/>
    <s v="TOTAL UNIDAD 0303"/>
    <m/>
    <m/>
    <n v="136834714317"/>
  </r>
  <r>
    <x v="0"/>
    <x v="0"/>
    <x v="0"/>
    <x v="0"/>
    <x v="0"/>
    <x v="0"/>
    <m/>
    <m/>
    <m/>
    <m/>
  </r>
  <r>
    <x v="0"/>
    <x v="0"/>
    <x v="0"/>
    <x v="0"/>
    <x v="0"/>
    <x v="0"/>
    <s v="Unidad Ejecutora:  0304 - FONDO DE SEGURIDAD"/>
    <m/>
    <m/>
    <m/>
  </r>
  <r>
    <x v="0"/>
    <x v="0"/>
    <x v="0"/>
    <x v="0"/>
    <x v="0"/>
    <x v="0"/>
    <s v="RUBRO"/>
    <m/>
    <s v="DESCRIPCIÓN "/>
    <s v="PROYECCIÓN 2026"/>
  </r>
  <r>
    <x v="0"/>
    <x v="0"/>
    <x v="0"/>
    <x v="0"/>
    <x v="0"/>
    <x v="0"/>
    <s v="0304 - 1"/>
    <m/>
    <s v="Ingresos"/>
    <n v="21609919205"/>
  </r>
  <r>
    <x v="0"/>
    <x v="0"/>
    <x v="0"/>
    <x v="0"/>
    <x v="0"/>
    <x v="0"/>
    <s v="0304 - 1.1"/>
    <m/>
    <s v="Ingresos Corrientes"/>
    <n v="20109919205"/>
  </r>
  <r>
    <x v="0"/>
    <x v="0"/>
    <x v="0"/>
    <x v="0"/>
    <x v="0"/>
    <x v="0"/>
    <s v="0304 - 1.1.02"/>
    <m/>
    <s v="Ingresos no tributarios"/>
    <n v="20109919205"/>
  </r>
  <r>
    <x v="0"/>
    <x v="0"/>
    <x v="0"/>
    <x v="0"/>
    <x v="0"/>
    <x v="0"/>
    <s v="0304 - 1.1.02.01"/>
    <m/>
    <s v="Contribuciones"/>
    <n v="20109919205"/>
  </r>
  <r>
    <x v="0"/>
    <x v="0"/>
    <x v="0"/>
    <x v="0"/>
    <x v="0"/>
    <x v="0"/>
    <s v="0304 - 1.1.02.01.005"/>
    <m/>
    <s v="Contribuciones diversas"/>
    <n v="20109919205"/>
  </r>
  <r>
    <x v="0"/>
    <x v="0"/>
    <x v="0"/>
    <x v="0"/>
    <x v="0"/>
    <x v="0"/>
    <s v="0304 - 1.1.02.01.005.59"/>
    <m/>
    <s v="Contribución especial sobre contratos de obras públicas"/>
    <n v="20109919205"/>
  </r>
  <r>
    <x v="1"/>
    <x v="4"/>
    <x v="1"/>
    <x v="1"/>
    <x v="1"/>
    <x v="2"/>
    <s v="0304 - 1.1.02.01.005.59.01 - 42"/>
    <s v="- 42"/>
    <s v="Contribución especial sobre contratos de obras públicas - Seguridad (5% de Contratos)"/>
    <n v="20109919205"/>
  </r>
  <r>
    <x v="0"/>
    <x v="0"/>
    <x v="0"/>
    <x v="0"/>
    <x v="0"/>
    <x v="0"/>
    <s v="0304 - 1.2"/>
    <m/>
    <s v="Recursos de capital"/>
    <n v="1500000000"/>
  </r>
  <r>
    <x v="0"/>
    <x v="0"/>
    <x v="0"/>
    <x v="0"/>
    <x v="0"/>
    <x v="0"/>
    <s v="0304 - 1.2.05"/>
    <m/>
    <s v="Rendimientos financieros"/>
    <n v="1500000000"/>
  </r>
  <r>
    <x v="0"/>
    <x v="0"/>
    <x v="0"/>
    <x v="0"/>
    <x v="0"/>
    <x v="0"/>
    <s v="0304 - 1.2.05.02"/>
    <m/>
    <s v="Depósitos"/>
    <n v="1500000000"/>
  </r>
  <r>
    <x v="1"/>
    <x v="4"/>
    <x v="1"/>
    <x v="1"/>
    <x v="2"/>
    <x v="5"/>
    <s v="0304 - 1.2.05.02.001 - 42F"/>
    <s v=" 42F"/>
    <s v="Depósitos"/>
    <n v="1500000000"/>
  </r>
  <r>
    <x v="0"/>
    <x v="0"/>
    <x v="0"/>
    <x v="0"/>
    <x v="0"/>
    <x v="0"/>
    <s v="0304 - 1.2.10"/>
    <m/>
    <s v="Recursos del balance"/>
    <n v="0"/>
  </r>
  <r>
    <x v="0"/>
    <x v="0"/>
    <x v="0"/>
    <x v="0"/>
    <x v="0"/>
    <x v="0"/>
    <s v="0304 - 1.2.10.02"/>
    <m/>
    <s v="Superávit fiscal"/>
    <n v="0"/>
  </r>
  <r>
    <x v="1"/>
    <x v="4"/>
    <x v="1"/>
    <x v="1"/>
    <x v="2"/>
    <x v="8"/>
    <s v="0304 - 1.2.10.02.001 - 42RB"/>
    <s v="42RB"/>
    <s v="Superávit fiscal"/>
    <n v="0"/>
  </r>
  <r>
    <x v="0"/>
    <x v="0"/>
    <x v="0"/>
    <x v="0"/>
    <x v="0"/>
    <x v="0"/>
    <s v="TOTAL UNIDAD 0304"/>
    <m/>
    <m/>
    <n v="21609919205"/>
  </r>
  <r>
    <x v="0"/>
    <x v="0"/>
    <x v="0"/>
    <x v="0"/>
    <x v="0"/>
    <x v="0"/>
    <m/>
    <m/>
    <m/>
    <m/>
  </r>
  <r>
    <x v="0"/>
    <x v="0"/>
    <x v="0"/>
    <x v="0"/>
    <x v="0"/>
    <x v="0"/>
    <s v="Unidad Ejecutora:  0305 - FONDO DE EDUCACIÓN SUPERIOR"/>
    <m/>
    <m/>
    <m/>
  </r>
  <r>
    <x v="0"/>
    <x v="0"/>
    <x v="0"/>
    <x v="0"/>
    <x v="0"/>
    <x v="0"/>
    <s v="DESCRIPCIÓN "/>
    <m/>
    <s v="PROYECCIÓN 2024"/>
    <s v="PROYECCIÓN 2026"/>
  </r>
  <r>
    <x v="0"/>
    <x v="0"/>
    <x v="0"/>
    <x v="0"/>
    <x v="0"/>
    <x v="0"/>
    <s v="0305 - 1"/>
    <m/>
    <s v="Ingresos"/>
    <n v="1461361887"/>
  </r>
  <r>
    <x v="0"/>
    <x v="0"/>
    <x v="0"/>
    <x v="0"/>
    <x v="0"/>
    <x v="0"/>
    <s v="0305 - 1.1"/>
    <m/>
    <s v="Ingresos Corrientes"/>
    <n v="0"/>
  </r>
  <r>
    <x v="0"/>
    <x v="0"/>
    <x v="0"/>
    <x v="0"/>
    <x v="0"/>
    <x v="0"/>
    <s v="0305 - 1.1.02"/>
    <m/>
    <s v="Ingresos no tributarios"/>
    <n v="0"/>
  </r>
  <r>
    <x v="0"/>
    <x v="0"/>
    <x v="0"/>
    <x v="0"/>
    <x v="0"/>
    <x v="0"/>
    <s v="0305 - 1.1.02.05"/>
    <m/>
    <s v="Venta de bienes y servicios"/>
    <n v="0"/>
  </r>
  <r>
    <x v="0"/>
    <x v="0"/>
    <x v="0"/>
    <x v="0"/>
    <x v="0"/>
    <x v="0"/>
    <s v="0305 - 1.1.02.05.002"/>
    <m/>
    <s v="Ventas incidentales de establecimientos no de mercado"/>
    <n v="0"/>
  </r>
  <r>
    <x v="0"/>
    <x v="0"/>
    <x v="0"/>
    <x v="0"/>
    <x v="0"/>
    <x v="0"/>
    <s v="0305 - 1.1.02.05.002.09"/>
    <m/>
    <s v="Servicios para la comunidad, sociales y personales"/>
    <n v="0"/>
  </r>
  <r>
    <x v="0"/>
    <x v="0"/>
    <x v="0"/>
    <x v="0"/>
    <x v="0"/>
    <x v="0"/>
    <s v="0305 - 1.1.02.05.002.09.02"/>
    <m/>
    <s v="Servicios de educación"/>
    <n v="0"/>
  </r>
  <r>
    <x v="0"/>
    <x v="0"/>
    <x v="0"/>
    <x v="0"/>
    <x v="0"/>
    <x v="0"/>
    <s v="0305 - 1.1.02.05.002.09.02.09"/>
    <m/>
    <s v="Otros tipos de educación y servicios de apoyo educativo"/>
    <n v="0"/>
  </r>
  <r>
    <x v="0"/>
    <x v="0"/>
    <x v="0"/>
    <x v="0"/>
    <x v="0"/>
    <x v="0"/>
    <s v="0305 - 1.1.02.05.002.09.02.09.02"/>
    <m/>
    <s v="Servicios de apoyo educativo"/>
    <n v="0"/>
  </r>
  <r>
    <x v="1"/>
    <x v="5"/>
    <x v="1"/>
    <x v="1"/>
    <x v="1"/>
    <x v="2"/>
    <s v="0305 - 1.1.02.05.002.09.02.09.02.00 - 151"/>
    <s v=" 151"/>
    <s v="Servicios de apoyo educativo (Estudio de crédito - Otros gastos)"/>
    <n v="0"/>
  </r>
  <r>
    <x v="0"/>
    <x v="0"/>
    <x v="0"/>
    <x v="0"/>
    <x v="0"/>
    <x v="0"/>
    <s v="0305 - 1.2"/>
    <m/>
    <s v="Recursos de capital"/>
    <n v="1461361887"/>
  </r>
  <r>
    <x v="0"/>
    <x v="0"/>
    <x v="0"/>
    <x v="0"/>
    <x v="0"/>
    <x v="0"/>
    <s v="0305 - 1.2.05"/>
    <m/>
    <s v="Rendimientos financieros"/>
    <n v="116908951"/>
  </r>
  <r>
    <x v="0"/>
    <x v="0"/>
    <x v="0"/>
    <x v="0"/>
    <x v="0"/>
    <x v="0"/>
    <s v="0305 - 1.2.05.02"/>
    <m/>
    <s v="Depósitos"/>
    <n v="0"/>
  </r>
  <r>
    <x v="1"/>
    <x v="5"/>
    <x v="1"/>
    <x v="1"/>
    <x v="2"/>
    <x v="5"/>
    <s v="0305 - 1.2.05.02.001 - 151F"/>
    <s v="151F"/>
    <s v="Depósitos"/>
    <n v="0"/>
  </r>
  <r>
    <x v="0"/>
    <x v="0"/>
    <x v="0"/>
    <x v="0"/>
    <x v="0"/>
    <x v="0"/>
    <s v="0305 - 1.2.05.05"/>
    <m/>
    <s v="Intereses por préstamos"/>
    <n v="116908951"/>
  </r>
  <r>
    <x v="1"/>
    <x v="5"/>
    <x v="1"/>
    <x v="1"/>
    <x v="2"/>
    <x v="12"/>
    <s v="0305 - 1.2.05.05.001 - 151"/>
    <s v=" 151"/>
    <s v="Intereses por préstamos"/>
    <n v="116908951"/>
  </r>
  <r>
    <x v="0"/>
    <x v="0"/>
    <x v="0"/>
    <x v="0"/>
    <x v="0"/>
    <x v="0"/>
    <s v="0305 - 1.2.09"/>
    <m/>
    <s v="Recuperación de cartera - préstamos"/>
    <n v="1344452936"/>
  </r>
  <r>
    <x v="0"/>
    <x v="0"/>
    <x v="0"/>
    <x v="0"/>
    <x v="0"/>
    <x v="0"/>
    <s v="0305 - 1.2.09.03"/>
    <m/>
    <s v="De personas naturales"/>
    <n v="1344452936"/>
  </r>
  <r>
    <x v="1"/>
    <x v="5"/>
    <x v="1"/>
    <x v="1"/>
    <x v="2"/>
    <x v="12"/>
    <s v="0305 - 1.2.09.03.001 - 151"/>
    <s v=" 151"/>
    <s v="De personas naturales"/>
    <n v="1344452936"/>
  </r>
  <r>
    <x v="0"/>
    <x v="0"/>
    <x v="0"/>
    <x v="0"/>
    <x v="0"/>
    <x v="0"/>
    <s v="0305 - 1.2.10"/>
    <m/>
    <s v="Recursos del balance"/>
    <n v="0"/>
  </r>
  <r>
    <x v="0"/>
    <x v="0"/>
    <x v="0"/>
    <x v="0"/>
    <x v="0"/>
    <x v="0"/>
    <s v="0305 - 1.2.10.02"/>
    <m/>
    <s v="Superávit fiscal"/>
    <n v="0"/>
  </r>
  <r>
    <x v="1"/>
    <x v="5"/>
    <x v="1"/>
    <x v="1"/>
    <x v="2"/>
    <x v="8"/>
    <s v="0305 - 1.2.10.02.001 - 151R"/>
    <s v="151R"/>
    <s v="Superávit fiscal"/>
    <n v="0"/>
  </r>
  <r>
    <x v="0"/>
    <x v="0"/>
    <x v="0"/>
    <x v="0"/>
    <x v="0"/>
    <x v="0"/>
    <s v="TOTAL UNIDAD 0305"/>
    <m/>
    <m/>
    <n v="1461361887"/>
  </r>
  <r>
    <x v="0"/>
    <x v="0"/>
    <x v="0"/>
    <x v="0"/>
    <x v="0"/>
    <x v="0"/>
    <m/>
    <m/>
    <m/>
    <m/>
  </r>
  <r>
    <x v="0"/>
    <x v="0"/>
    <x v="0"/>
    <x v="0"/>
    <x v="0"/>
    <x v="0"/>
    <s v="Unidad Ejecutora:  0306 - FONDO DE PENSIONES"/>
    <m/>
    <m/>
    <m/>
  </r>
  <r>
    <x v="0"/>
    <x v="0"/>
    <x v="0"/>
    <x v="0"/>
    <x v="0"/>
    <x v="0"/>
    <s v="DESCRIPCIÓN "/>
    <m/>
    <s v="APROPIACIÓN 2023"/>
    <m/>
  </r>
  <r>
    <x v="0"/>
    <x v="0"/>
    <x v="0"/>
    <x v="0"/>
    <x v="0"/>
    <x v="0"/>
    <s v="0306 - 1"/>
    <m/>
    <s v="Ingresos"/>
    <n v="75255807463"/>
  </r>
  <r>
    <x v="0"/>
    <x v="0"/>
    <x v="0"/>
    <x v="0"/>
    <x v="0"/>
    <x v="0"/>
    <s v="0306 - 1.1"/>
    <m/>
    <s v="Ingresos Corrientes"/>
    <n v="37755807463"/>
  </r>
  <r>
    <x v="0"/>
    <x v="0"/>
    <x v="0"/>
    <x v="0"/>
    <x v="0"/>
    <x v="0"/>
    <s v="0306 - 1.1.01"/>
    <m/>
    <s v="Ingresos tributarios"/>
    <n v="36555807463"/>
  </r>
  <r>
    <x v="0"/>
    <x v="0"/>
    <x v="0"/>
    <x v="0"/>
    <x v="0"/>
    <x v="0"/>
    <s v="0306 - 1.1.01.02"/>
    <m/>
    <s v="Impuestos indirectos"/>
    <n v="36555807463"/>
  </r>
  <r>
    <x v="0"/>
    <x v="0"/>
    <x v="0"/>
    <x v="0"/>
    <x v="0"/>
    <x v="0"/>
    <s v="0306 - 1.1.01.02.100"/>
    <m/>
    <s v="Impuesto de Registro"/>
    <n v="3507192772"/>
  </r>
  <r>
    <x v="0"/>
    <x v="0"/>
    <x v="0"/>
    <x v="0"/>
    <x v="0"/>
    <x v="0"/>
    <s v="0306 - 1.1.01.02.100.01"/>
    <m/>
    <s v="Impuesto de Registro - Cámaras de Comercio"/>
    <n v="175359638"/>
  </r>
  <r>
    <x v="1"/>
    <x v="6"/>
    <x v="1"/>
    <x v="1"/>
    <x v="1"/>
    <x v="1"/>
    <s v="0306 - 1.1.01.02.100.01.01 - 09"/>
    <s v="- 09"/>
    <s v="Impuesto de Registro - Cámaras de Comercio"/>
    <n v="175359638"/>
  </r>
  <r>
    <x v="0"/>
    <x v="0"/>
    <x v="0"/>
    <x v="0"/>
    <x v="0"/>
    <x v="0"/>
    <s v="0306 - 1.1.01.02.100.02"/>
    <m/>
    <s v="Impuesto de Registro - Oficinas de Instrumentos Públicos"/>
    <n v="3331833134"/>
  </r>
  <r>
    <x v="1"/>
    <x v="6"/>
    <x v="1"/>
    <x v="1"/>
    <x v="1"/>
    <x v="1"/>
    <s v="0306 - 1.1.01.02.100.02.01 - 09"/>
    <s v="- 09"/>
    <s v="Impuesto de Registro - Oficinas de Instrumentos Públicos"/>
    <n v="3331833134"/>
  </r>
  <r>
    <x v="0"/>
    <x v="0"/>
    <x v="0"/>
    <x v="0"/>
    <x v="0"/>
    <x v="0"/>
    <s v="0306 - 1.1.01.02.300"/>
    <m/>
    <s v="Estampillas"/>
    <n v="33048614691"/>
  </r>
  <r>
    <x v="1"/>
    <x v="6"/>
    <x v="1"/>
    <x v="1"/>
    <x v="1"/>
    <x v="1"/>
    <s v="0306 - 1.1.01.02.300.02 - 04"/>
    <s v="- 04"/>
    <s v="Estampilla pro desarrollo departamental"/>
    <n v="4284386118"/>
  </r>
  <r>
    <x v="1"/>
    <x v="6"/>
    <x v="1"/>
    <x v="3"/>
    <x v="1"/>
    <x v="1"/>
    <s v="0306 - 1.1.01.02.300.05 - 05"/>
    <s v="- 05"/>
    <s v="Estampilla pro electrificación rural"/>
    <n v="2165041561"/>
  </r>
  <r>
    <x v="1"/>
    <x v="6"/>
    <x v="1"/>
    <x v="3"/>
    <x v="1"/>
    <x v="1"/>
    <s v="0306 - 1.1.01.02.300.49 - 06"/>
    <s v="- 06"/>
    <s v="Estampilla de fomento turístico del Meta"/>
    <n v="7714700000"/>
  </r>
  <r>
    <x v="1"/>
    <x v="6"/>
    <x v="1"/>
    <x v="3"/>
    <x v="1"/>
    <x v="1"/>
    <s v="0306 - 1.1.01.02.300.01 - 08"/>
    <s v="- 08"/>
    <s v="Estampilla para el bienestar del adulto mayor"/>
    <n v="3427544116"/>
  </r>
  <r>
    <x v="1"/>
    <x v="6"/>
    <x v="1"/>
    <x v="3"/>
    <x v="1"/>
    <x v="1"/>
    <s v="0306 - 1.1.01.02.300.55 - 12"/>
    <s v="- 12"/>
    <s v="Estampilla pro cultura"/>
    <n v="3844832137"/>
  </r>
  <r>
    <x v="1"/>
    <x v="6"/>
    <x v="1"/>
    <x v="3"/>
    <x v="1"/>
    <x v="1"/>
    <s v="0306 - 1.1.01.02.300.18 - 45"/>
    <s v="- 45"/>
    <s v="Estampilla Universidad de los Llanos"/>
    <n v="4430582867"/>
  </r>
  <r>
    <x v="1"/>
    <x v="6"/>
    <x v="1"/>
    <x v="3"/>
    <x v="1"/>
    <x v="1"/>
    <s v="0306 - 1.1.01.02.300.61 - 47"/>
    <s v="- 47"/>
    <s v="Estampilla Justicia Familiar"/>
    <n v="2039343071"/>
  </r>
  <r>
    <x v="1"/>
    <x v="6"/>
    <x v="1"/>
    <x v="3"/>
    <x v="1"/>
    <x v="1"/>
    <s v="0306 - 1.1.01.02.300.63 - 84"/>
    <s v="- 84"/>
    <s v="Estampilla prohospitales públicos, centros de salud públicos y puestos de salud públicos del Departa"/>
    <n v="5142184821"/>
  </r>
  <r>
    <x v="0"/>
    <x v="0"/>
    <x v="0"/>
    <x v="0"/>
    <x v="0"/>
    <x v="0"/>
    <s v="0306 - 1.1.02"/>
    <m/>
    <s v="Ingresos no tributarios"/>
    <n v="1200000000"/>
  </r>
  <r>
    <x v="0"/>
    <x v="0"/>
    <x v="0"/>
    <x v="0"/>
    <x v="0"/>
    <x v="0"/>
    <s v="0306 - 1.1.02.06"/>
    <m/>
    <s v="Transferencias corrientes"/>
    <n v="1200000000"/>
  </r>
  <r>
    <x v="0"/>
    <x v="0"/>
    <x v="0"/>
    <x v="0"/>
    <x v="0"/>
    <x v="0"/>
    <s v="0306 - 1.1.02.06.009"/>
    <m/>
    <s v="Recursos del Sistema de Seguridad Social Integral"/>
    <n v="1200000000"/>
  </r>
  <r>
    <x v="0"/>
    <x v="0"/>
    <x v="0"/>
    <x v="0"/>
    <x v="0"/>
    <x v="0"/>
    <s v="0306 - 1.1.02.06.009.02"/>
    <m/>
    <s v="Sistema General de Pensiones"/>
    <n v="1200000000"/>
  </r>
  <r>
    <x v="0"/>
    <x v="0"/>
    <x v="0"/>
    <x v="0"/>
    <x v="0"/>
    <x v="0"/>
    <s v="0306 - 1.1.02.06.009.02.02"/>
    <m/>
    <s v="Cuotas partes pensionales"/>
    <n v="1200000000"/>
  </r>
  <r>
    <x v="1"/>
    <x v="6"/>
    <x v="1"/>
    <x v="1"/>
    <x v="1"/>
    <x v="2"/>
    <s v="0306 - 1.1.02.06.009.02.02.01 - 69"/>
    <s v="- 69"/>
    <s v="Cuotas partes pensionales"/>
    <n v="1200000000"/>
  </r>
  <r>
    <x v="0"/>
    <x v="0"/>
    <x v="0"/>
    <x v="0"/>
    <x v="0"/>
    <x v="0"/>
    <s v="0306 - 1.2"/>
    <m/>
    <s v="Recursos de capital"/>
    <n v="37500000000"/>
  </r>
  <r>
    <x v="0"/>
    <x v="0"/>
    <x v="0"/>
    <x v="0"/>
    <x v="0"/>
    <x v="0"/>
    <s v="0306 - 1.2.05"/>
    <m/>
    <s v="Rendimientos financieros"/>
    <n v="0"/>
  </r>
  <r>
    <x v="0"/>
    <x v="0"/>
    <x v="0"/>
    <x v="0"/>
    <x v="0"/>
    <x v="0"/>
    <s v="0306 - 1.2.05.02"/>
    <m/>
    <s v="Depósitos"/>
    <n v="0"/>
  </r>
  <r>
    <x v="1"/>
    <x v="6"/>
    <x v="1"/>
    <x v="3"/>
    <x v="2"/>
    <x v="5"/>
    <s v="0306 - 1.2.05.02.001 - 04F"/>
    <s v=" 04F"/>
    <s v="Depósitos"/>
    <n v="0"/>
  </r>
  <r>
    <x v="1"/>
    <x v="6"/>
    <x v="1"/>
    <x v="3"/>
    <x v="2"/>
    <x v="5"/>
    <s v="0306 - 1.2.05.02.001 - 05F"/>
    <s v=" 05F"/>
    <s v="Depósitos"/>
    <n v="0"/>
  </r>
  <r>
    <x v="1"/>
    <x v="6"/>
    <x v="1"/>
    <x v="3"/>
    <x v="2"/>
    <x v="5"/>
    <s v="0306 - 1.2.05.02.001 - 06DF"/>
    <s v="06DF"/>
    <s v="Depósitos"/>
    <n v="0"/>
  </r>
  <r>
    <x v="1"/>
    <x v="6"/>
    <x v="1"/>
    <x v="3"/>
    <x v="2"/>
    <x v="5"/>
    <s v="0306 - 1.2.05.02.001 - 06F"/>
    <s v=" 06F"/>
    <s v="Depósitos"/>
    <n v="0"/>
  </r>
  <r>
    <x v="1"/>
    <x v="6"/>
    <x v="1"/>
    <x v="1"/>
    <x v="2"/>
    <x v="5"/>
    <s v="0306 - 1.2.05.02.001 - 09F"/>
    <s v=" 09F"/>
    <s v="Depósitos"/>
    <n v="0"/>
  </r>
  <r>
    <x v="1"/>
    <x v="6"/>
    <x v="1"/>
    <x v="1"/>
    <x v="2"/>
    <x v="5"/>
    <s v="0306 - 1.2.05.02.001 - 100F"/>
    <s v="100F"/>
    <s v="Depósitos"/>
    <n v="0"/>
  </r>
  <r>
    <x v="1"/>
    <x v="6"/>
    <x v="1"/>
    <x v="3"/>
    <x v="2"/>
    <x v="5"/>
    <s v="0306 - 1.2.05.02.001 - 12F"/>
    <s v=" 12F"/>
    <s v="Depósitos"/>
    <n v="0"/>
  </r>
  <r>
    <x v="1"/>
    <x v="6"/>
    <x v="1"/>
    <x v="1"/>
    <x v="2"/>
    <x v="5"/>
    <s v="0306 - 1.2.05.02.001 - 69F"/>
    <s v=" 69F"/>
    <s v="Depósitos"/>
    <n v="0"/>
  </r>
  <r>
    <x v="1"/>
    <x v="6"/>
    <x v="1"/>
    <x v="3"/>
    <x v="2"/>
    <x v="5"/>
    <s v="0306 - 1.2.05.02.001 - 84F"/>
    <s v=" 84F"/>
    <s v="Depósitos"/>
    <n v="0"/>
  </r>
  <r>
    <x v="0"/>
    <x v="0"/>
    <x v="0"/>
    <x v="0"/>
    <x v="0"/>
    <x v="0"/>
    <s v="0306 - 1.2.10"/>
    <m/>
    <s v="Recursos del balance"/>
    <n v="0"/>
  </r>
  <r>
    <x v="0"/>
    <x v="0"/>
    <x v="0"/>
    <x v="0"/>
    <x v="0"/>
    <x v="0"/>
    <s v="0306 - 1.2.10.02"/>
    <m/>
    <s v="Superávit fiscal"/>
    <n v="0"/>
  </r>
  <r>
    <x v="1"/>
    <x v="6"/>
    <x v="1"/>
    <x v="3"/>
    <x v="2"/>
    <x v="8"/>
    <s v="0306 - 1.2.10.02.001 - 04RB"/>
    <s v="04RB"/>
    <s v="Superávit fiscal"/>
    <m/>
  </r>
  <r>
    <x v="1"/>
    <x v="6"/>
    <x v="1"/>
    <x v="3"/>
    <x v="2"/>
    <x v="8"/>
    <s v="0306 - 1.2.10.02.001 - 06RB"/>
    <s v="06RB"/>
    <s v="Superávit fiscal"/>
    <m/>
  </r>
  <r>
    <x v="1"/>
    <x v="6"/>
    <x v="1"/>
    <x v="1"/>
    <x v="2"/>
    <x v="8"/>
    <s v="0306 - 1.2.10.02.001 - 09RB"/>
    <s v="09RB"/>
    <s v="Superávit fiscal"/>
    <m/>
  </r>
  <r>
    <x v="1"/>
    <x v="6"/>
    <x v="1"/>
    <x v="1"/>
    <x v="2"/>
    <x v="8"/>
    <s v="0306 - 1.2.10.02.001 - 100R"/>
    <s v="100R"/>
    <s v="Superávit fiscal"/>
    <m/>
  </r>
  <r>
    <x v="1"/>
    <x v="6"/>
    <x v="1"/>
    <x v="3"/>
    <x v="2"/>
    <x v="8"/>
    <s v="0306 - 1.2.10.02.001 - 12RB"/>
    <s v="12RB"/>
    <s v="Superávit fiscal"/>
    <m/>
  </r>
  <r>
    <x v="1"/>
    <x v="6"/>
    <x v="1"/>
    <x v="1"/>
    <x v="2"/>
    <x v="8"/>
    <s v="0306 - 1.2.10.02.001 - 69RB"/>
    <s v="69RB"/>
    <s v="Superávit fiscal"/>
    <m/>
  </r>
  <r>
    <x v="0"/>
    <x v="0"/>
    <x v="0"/>
    <x v="0"/>
    <x v="0"/>
    <x v="0"/>
    <s v="0306 - 1.2.12"/>
    <m/>
    <s v="Retiros FONPET"/>
    <n v="37500000000"/>
  </r>
  <r>
    <x v="0"/>
    <x v="0"/>
    <x v="0"/>
    <x v="0"/>
    <x v="0"/>
    <x v="0"/>
    <s v="0306 - 1.2.12.09"/>
    <m/>
    <s v="Para el pago de obligaciones pensionales corrientes"/>
    <n v="37500000000"/>
  </r>
  <r>
    <x v="1"/>
    <x v="6"/>
    <x v="1"/>
    <x v="1"/>
    <x v="2"/>
    <x v="13"/>
    <s v="0306 - 1.2.12.09.001 - 100"/>
    <n v="100"/>
    <s v="Para el pago de obligaciones pensionales corrientes"/>
    <n v="4000000000"/>
  </r>
  <r>
    <x v="1"/>
    <x v="6"/>
    <x v="1"/>
    <x v="1"/>
    <x v="2"/>
    <x v="13"/>
    <s v="0306 - 1.2.12.09.001 - 100RB"/>
    <s v="100RB"/>
    <s v="Para el pago de obligaciones pensionales corrientes"/>
    <n v="33500000000"/>
  </r>
  <r>
    <x v="0"/>
    <x v="0"/>
    <x v="0"/>
    <x v="0"/>
    <x v="0"/>
    <x v="0"/>
    <s v="0306 - 1.2.13"/>
    <m/>
    <s v="Reintegros y otros recursos no apropiados"/>
    <n v="0"/>
  </r>
  <r>
    <x v="0"/>
    <x v="0"/>
    <x v="0"/>
    <x v="0"/>
    <x v="0"/>
    <x v="0"/>
    <s v="0306 - 1.2.13.01"/>
    <m/>
    <s v="Reintegros"/>
    <n v="0"/>
  </r>
  <r>
    <x v="1"/>
    <x v="6"/>
    <x v="1"/>
    <x v="3"/>
    <x v="2"/>
    <x v="9"/>
    <s v="0306 - 1.2.13.01.001 - 06"/>
    <s v="- 06"/>
    <s v="Reintegros"/>
    <m/>
  </r>
  <r>
    <x v="1"/>
    <x v="6"/>
    <x v="1"/>
    <x v="3"/>
    <x v="2"/>
    <x v="9"/>
    <s v="0306 - 1.2.13.01.001 - 06D"/>
    <s v=" 06D"/>
    <s v="Reintegros"/>
    <m/>
  </r>
  <r>
    <x v="1"/>
    <x v="6"/>
    <x v="1"/>
    <x v="1"/>
    <x v="2"/>
    <x v="9"/>
    <s v="0306 - 1.2.13.01.001 - 100"/>
    <s v=" 100"/>
    <s v="Reintegros"/>
    <m/>
  </r>
  <r>
    <x v="0"/>
    <x v="0"/>
    <x v="0"/>
    <x v="0"/>
    <x v="0"/>
    <x v="0"/>
    <s v="TOTAL UNIDAD 0306"/>
    <m/>
    <m/>
    <n v="75255807463"/>
  </r>
  <r>
    <x v="0"/>
    <x v="0"/>
    <x v="0"/>
    <x v="0"/>
    <x v="0"/>
    <x v="0"/>
    <m/>
    <m/>
    <m/>
    <m/>
  </r>
  <r>
    <x v="0"/>
    <x v="0"/>
    <x v="0"/>
    <x v="0"/>
    <x v="0"/>
    <x v="0"/>
    <s v="II. INGRESOS ESTABLECIMIENTOS PÚBLICOS"/>
    <m/>
    <m/>
    <n v="70821787091"/>
  </r>
  <r>
    <x v="0"/>
    <x v="0"/>
    <x v="0"/>
    <x v="0"/>
    <x v="0"/>
    <x v="0"/>
    <s v="SECCIÓN 02"/>
    <m/>
    <m/>
    <m/>
  </r>
  <r>
    <x v="0"/>
    <x v="0"/>
    <x v="0"/>
    <x v="0"/>
    <x v="0"/>
    <x v="0"/>
    <s v="INSTITUTO DE DEPORTE DEL META"/>
    <m/>
    <m/>
    <m/>
  </r>
  <r>
    <x v="0"/>
    <x v="0"/>
    <x v="0"/>
    <x v="0"/>
    <x v="0"/>
    <x v="0"/>
    <s v="RUBRO"/>
    <m/>
    <s v="DESCRIPCIÓN "/>
    <m/>
  </r>
  <r>
    <x v="0"/>
    <x v="0"/>
    <x v="0"/>
    <x v="0"/>
    <x v="0"/>
    <x v="0"/>
    <n v="1"/>
    <m/>
    <s v="INGRESOS"/>
    <n v="707000000"/>
  </r>
  <r>
    <x v="0"/>
    <x v="0"/>
    <x v="0"/>
    <x v="0"/>
    <x v="0"/>
    <x v="0"/>
    <s v="1.1"/>
    <m/>
    <s v="INGRESOS CORRIENTES"/>
    <n v="700000000"/>
  </r>
  <r>
    <x v="0"/>
    <x v="0"/>
    <x v="0"/>
    <x v="0"/>
    <x v="0"/>
    <x v="0"/>
    <s v="1.1.02"/>
    <m/>
    <s v="INGRESOS NO TRIBUTARIOS"/>
    <n v="700000000"/>
  </r>
  <r>
    <x v="0"/>
    <x v="0"/>
    <x v="0"/>
    <x v="0"/>
    <x v="0"/>
    <x v="0"/>
    <s v="1.1.02.05"/>
    <m/>
    <s v="VENTA DE BIENES Y SERVICIOS"/>
    <n v="700000000"/>
  </r>
  <r>
    <x v="0"/>
    <x v="0"/>
    <x v="0"/>
    <x v="0"/>
    <x v="0"/>
    <x v="0"/>
    <s v="1.1.02.05.002"/>
    <m/>
    <s v="VENTAS INCIDENTALES DE ESTABLECIMIENTOS NO DE MERCADO"/>
    <n v="700000000"/>
  </r>
  <r>
    <x v="2"/>
    <x v="7"/>
    <x v="1"/>
    <x v="6"/>
    <x v="1"/>
    <x v="2"/>
    <s v="1.1.02.05.002.07 "/>
    <n v="200"/>
    <s v="Servicios financieros y servicios conexos; servicios inmobiliarios; y servicios de arrendamiento y leasing"/>
    <n v="700000000"/>
  </r>
  <r>
    <x v="0"/>
    <x v="0"/>
    <x v="0"/>
    <x v="0"/>
    <x v="0"/>
    <x v="0"/>
    <s v="1.1.02.06"/>
    <m/>
    <s v="TRANSFERENCIAS CORRIENTES"/>
    <n v="0"/>
  </r>
  <r>
    <x v="0"/>
    <x v="0"/>
    <x v="0"/>
    <x v="0"/>
    <x v="0"/>
    <x v="0"/>
    <s v="1.1.02.06.006"/>
    <m/>
    <s v="TRANSFERENCIAS DE OTRAS ENTIDADES DEL GOBIERNO GENERAL"/>
    <n v="0"/>
  </r>
  <r>
    <x v="0"/>
    <x v="0"/>
    <x v="0"/>
    <x v="0"/>
    <x v="0"/>
    <x v="0"/>
    <s v="1.1.02.06.006.01"/>
    <m/>
    <s v="Aportes Nacion"/>
    <n v="0"/>
  </r>
  <r>
    <x v="0"/>
    <x v="0"/>
    <x v="0"/>
    <x v="0"/>
    <x v="0"/>
    <x v="0"/>
    <s v="1.1.02.06.006.06"/>
    <m/>
    <s v="Otras unidades del Gobierno"/>
    <n v="0"/>
  </r>
  <r>
    <x v="2"/>
    <x v="7"/>
    <x v="1"/>
    <x v="3"/>
    <x v="1"/>
    <x v="2"/>
    <s v="1.1.02.06.006.06.01 "/>
    <n v="4"/>
    <s v="Departamento del Meta (Estampilla Prodesarrollo)"/>
    <n v="0"/>
  </r>
  <r>
    <x v="2"/>
    <x v="7"/>
    <x v="1"/>
    <x v="1"/>
    <x v="1"/>
    <x v="2"/>
    <s v="1.1.02.06.006.06.01 "/>
    <n v="58"/>
    <s v="Departamento del Meta (Impuesto al Cigarrillo)"/>
    <n v="0"/>
  </r>
  <r>
    <x v="2"/>
    <x v="7"/>
    <x v="1"/>
    <x v="1"/>
    <x v="1"/>
    <x v="2"/>
    <s v="1.1.02.06.006.06.01 "/>
    <n v="60"/>
    <s v="Departamento del Meta (IVA Licores)"/>
    <n v="0"/>
  </r>
  <r>
    <x v="2"/>
    <x v="7"/>
    <x v="1"/>
    <x v="1"/>
    <x v="1"/>
    <x v="2"/>
    <s v="1.1.02.06.006.06.01 "/>
    <n v="61"/>
    <s v="Departamento del Meta (Tasa Prodeporte y Recreacion)"/>
    <n v="0"/>
  </r>
  <r>
    <x v="2"/>
    <x v="7"/>
    <x v="1"/>
    <x v="6"/>
    <x v="1"/>
    <x v="2"/>
    <s v="1.1.02.06.006.06.01 "/>
    <n v="20"/>
    <s v="Departamento del Meta - ICLD Inversion"/>
    <n v="0"/>
  </r>
  <r>
    <x v="2"/>
    <x v="7"/>
    <x v="1"/>
    <x v="6"/>
    <x v="1"/>
    <x v="2"/>
    <s v="1.1.02.06.006.06.01 "/>
    <n v="20"/>
    <s v="Departamento del Meta - ICLD Funcionamiento"/>
    <n v="0"/>
  </r>
  <r>
    <x v="0"/>
    <x v="0"/>
    <x v="0"/>
    <x v="0"/>
    <x v="0"/>
    <x v="0"/>
    <s v="1.2"/>
    <m/>
    <s v="RECURSOS DE CAPITAL"/>
    <n v="7000000"/>
  </r>
  <r>
    <x v="0"/>
    <x v="0"/>
    <x v="0"/>
    <x v="0"/>
    <x v="0"/>
    <x v="0"/>
    <s v="1.2.05"/>
    <m/>
    <s v="RENDIMIENTOS FINANCIEROS"/>
    <n v="7000000"/>
  </r>
  <r>
    <x v="2"/>
    <x v="7"/>
    <x v="1"/>
    <x v="6"/>
    <x v="2"/>
    <x v="5"/>
    <s v="1.2.05.02 "/>
    <n v="200"/>
    <s v="Depositos"/>
    <n v="7000000"/>
  </r>
  <r>
    <x v="0"/>
    <x v="0"/>
    <x v="0"/>
    <x v="0"/>
    <x v="0"/>
    <x v="0"/>
    <s v="1.2.08"/>
    <m/>
    <s v="TRANSFERENCIAS DE CAPITAL"/>
    <n v="0"/>
  </r>
  <r>
    <x v="0"/>
    <x v="0"/>
    <x v="0"/>
    <x v="0"/>
    <x v="0"/>
    <x v="0"/>
    <s v="1.2.08.06"/>
    <m/>
    <s v="De otras entidades del gobierno general"/>
    <n v="0"/>
  </r>
  <r>
    <x v="2"/>
    <x v="7"/>
    <x v="1"/>
    <x v="6"/>
    <x v="2"/>
    <x v="11"/>
    <s v="1.2.08.06.01"/>
    <n v="4"/>
    <s v="Departamento del Meta (Estampilla Prodesarrollo)"/>
    <n v="0"/>
  </r>
  <r>
    <x v="0"/>
    <x v="0"/>
    <x v="0"/>
    <x v="0"/>
    <x v="0"/>
    <x v="0"/>
    <s v="1.2.10"/>
    <m/>
    <s v="RECURSOS DE BALANCE"/>
    <n v="0"/>
  </r>
  <r>
    <x v="0"/>
    <x v="0"/>
    <x v="0"/>
    <x v="0"/>
    <x v="0"/>
    <x v="0"/>
    <s v="1.2.10.01"/>
    <m/>
    <s v="Cancelacion reservas"/>
    <n v="0"/>
  </r>
  <r>
    <x v="2"/>
    <x v="7"/>
    <x v="1"/>
    <x v="6"/>
    <x v="2"/>
    <x v="8"/>
    <s v="1.2.10.02"/>
    <m/>
    <s v="Superavit fiscal"/>
    <n v="0"/>
  </r>
  <r>
    <x v="0"/>
    <x v="0"/>
    <x v="0"/>
    <x v="0"/>
    <x v="0"/>
    <x v="0"/>
    <s v="1.2.10"/>
    <m/>
    <s v="RECURSOS DE BALANCE"/>
    <n v="0"/>
  </r>
  <r>
    <x v="2"/>
    <x v="7"/>
    <x v="1"/>
    <x v="6"/>
    <x v="2"/>
    <x v="7"/>
    <s v="1.2.10.01"/>
    <m/>
    <s v="Cancelacion de reservas"/>
    <n v="0"/>
  </r>
  <r>
    <x v="2"/>
    <x v="7"/>
    <x v="1"/>
    <x v="6"/>
    <x v="2"/>
    <x v="14"/>
    <s v="1.2.10.02"/>
    <m/>
    <s v="Superávit fiscal"/>
    <n v="0"/>
  </r>
  <r>
    <x v="0"/>
    <x v="0"/>
    <x v="0"/>
    <x v="0"/>
    <x v="0"/>
    <x v="0"/>
    <s v="TOTAL SECCION 02"/>
    <m/>
    <m/>
    <n v="707000000"/>
  </r>
  <r>
    <x v="0"/>
    <x v="0"/>
    <x v="0"/>
    <x v="0"/>
    <x v="0"/>
    <x v="0"/>
    <m/>
    <m/>
    <m/>
    <m/>
  </r>
  <r>
    <x v="0"/>
    <x v="0"/>
    <x v="0"/>
    <x v="0"/>
    <x v="0"/>
    <x v="0"/>
    <s v="SECCIÓN 03"/>
    <m/>
    <m/>
    <m/>
  </r>
  <r>
    <x v="0"/>
    <x v="0"/>
    <x v="0"/>
    <x v="0"/>
    <x v="0"/>
    <x v="0"/>
    <s v="INSTITUTO DE CULTURA DEL META"/>
    <m/>
    <m/>
    <m/>
  </r>
  <r>
    <x v="0"/>
    <x v="0"/>
    <x v="0"/>
    <x v="0"/>
    <x v="0"/>
    <x v="0"/>
    <s v="RUBRO"/>
    <m/>
    <s v="DESCRIPCIÓN "/>
    <m/>
  </r>
  <r>
    <x v="0"/>
    <x v="0"/>
    <x v="0"/>
    <x v="0"/>
    <x v="0"/>
    <x v="0"/>
    <n v="1"/>
    <m/>
    <s v="INGRESOS"/>
    <m/>
  </r>
  <r>
    <x v="0"/>
    <x v="0"/>
    <x v="0"/>
    <x v="0"/>
    <x v="0"/>
    <x v="0"/>
    <n v="1.1000000000000001"/>
    <m/>
    <s v="INGRESOS CORRIENTES"/>
    <m/>
  </r>
  <r>
    <x v="0"/>
    <x v="0"/>
    <x v="0"/>
    <x v="0"/>
    <x v="0"/>
    <x v="0"/>
    <s v="1.1.02"/>
    <m/>
    <s v="INGRESOS NO TRIBUTARIOS"/>
    <m/>
  </r>
  <r>
    <x v="0"/>
    <x v="0"/>
    <x v="0"/>
    <x v="0"/>
    <x v="0"/>
    <x v="0"/>
    <s v="1.1.02.06"/>
    <m/>
    <s v="TRANSFERENCIAS CORRIENTES"/>
    <m/>
  </r>
  <r>
    <x v="0"/>
    <x v="0"/>
    <x v="0"/>
    <x v="0"/>
    <x v="0"/>
    <x v="0"/>
    <s v="1.1.02.06.006"/>
    <m/>
    <s v="TRANSFERENCIAS DE OTRAS ENTIDADES DEL GOBIERNO GENERAL"/>
    <m/>
  </r>
  <r>
    <x v="0"/>
    <x v="0"/>
    <x v="0"/>
    <x v="0"/>
    <x v="0"/>
    <x v="0"/>
    <s v="1.1.02.06.006.06"/>
    <m/>
    <s v="OTRAS UNIDADES DE GOBIERNO"/>
    <m/>
  </r>
  <r>
    <x v="2"/>
    <x v="8"/>
    <x v="1"/>
    <x v="3"/>
    <x v="1"/>
    <x v="2"/>
    <s v="1.1.02.06.006.06.01"/>
    <n v="12"/>
    <s v="GOBERNACION DEL META"/>
    <m/>
  </r>
  <r>
    <x v="2"/>
    <x v="8"/>
    <x v="1"/>
    <x v="1"/>
    <x v="1"/>
    <x v="2"/>
    <s v="1.1.02.06.006.06.03"/>
    <n v="24"/>
    <s v="MINISTERIO IVA TELEFONIA CELULAR"/>
    <m/>
  </r>
  <r>
    <x v="0"/>
    <x v="0"/>
    <x v="0"/>
    <x v="0"/>
    <x v="0"/>
    <x v="0"/>
    <n v="1.2"/>
    <m/>
    <s v="RECURSOS DE CAPITAL"/>
    <m/>
  </r>
  <r>
    <x v="0"/>
    <x v="0"/>
    <x v="0"/>
    <x v="0"/>
    <x v="0"/>
    <x v="0"/>
    <s v="1.2.02"/>
    <m/>
    <s v="EXCEDENTES FINACIEROS"/>
    <m/>
  </r>
  <r>
    <x v="0"/>
    <x v="0"/>
    <x v="0"/>
    <x v="0"/>
    <x v="0"/>
    <x v="0"/>
    <s v="1.2.02.01"/>
    <m/>
    <s v="ESTABLECIMIENTOS PUBLICOS"/>
    <m/>
  </r>
  <r>
    <x v="2"/>
    <x v="8"/>
    <x v="1"/>
    <x v="3"/>
    <x v="2"/>
    <x v="2"/>
    <s v="1.2.02.01.01"/>
    <n v="12"/>
    <s v="RECURSOS PROPIOS"/>
    <m/>
  </r>
  <r>
    <x v="2"/>
    <x v="8"/>
    <x v="1"/>
    <x v="3"/>
    <x v="2"/>
    <x v="2"/>
    <s v="1.2.02.01.03"/>
    <n v="12"/>
    <s v="FONDO DEL GESTOR CULTURAL"/>
    <m/>
  </r>
  <r>
    <x v="2"/>
    <x v="8"/>
    <x v="1"/>
    <x v="3"/>
    <x v="2"/>
    <x v="2"/>
    <s v="1.2.02.01.04"/>
    <n v="12"/>
    <s v="RED DE BIBLIOTECAS PUBLICAS DEL DEPARTAMENTO DEL META"/>
    <m/>
  </r>
  <r>
    <x v="0"/>
    <x v="0"/>
    <x v="0"/>
    <x v="0"/>
    <x v="0"/>
    <x v="0"/>
    <s v="1.2.05"/>
    <m/>
    <s v="RENDIMIENTOS FINANCIEROS"/>
    <m/>
  </r>
  <r>
    <x v="0"/>
    <x v="0"/>
    <x v="0"/>
    <x v="0"/>
    <x v="0"/>
    <x v="0"/>
    <s v="1.2.05.02"/>
    <m/>
    <s v="DEPÓSITOS"/>
    <m/>
  </r>
  <r>
    <x v="2"/>
    <x v="8"/>
    <x v="1"/>
    <x v="3"/>
    <x v="2"/>
    <x v="5"/>
    <s v="1.2.05.02.01"/>
    <n v="12"/>
    <s v="RENDIMIENTOS FINANCIEROS CUENTA RECURSOS PROPIOS"/>
    <m/>
  </r>
  <r>
    <x v="2"/>
    <x v="8"/>
    <x v="1"/>
    <x v="3"/>
    <x v="2"/>
    <x v="5"/>
    <s v="1.2.05.02.02"/>
    <n v="12"/>
    <s v="RENDIMIENTOS FINANCIEROS CUENTA FONDO DEL GESTOR CULTURAL"/>
    <m/>
  </r>
  <r>
    <x v="0"/>
    <x v="0"/>
    <x v="0"/>
    <x v="0"/>
    <x v="0"/>
    <x v="0"/>
    <m/>
    <m/>
    <s v="TOTAL SECCIÓN 05"/>
    <m/>
  </r>
  <r>
    <x v="0"/>
    <x v="0"/>
    <x v="0"/>
    <x v="0"/>
    <x v="0"/>
    <x v="0"/>
    <m/>
    <m/>
    <m/>
    <m/>
  </r>
  <r>
    <x v="0"/>
    <x v="0"/>
    <x v="0"/>
    <x v="0"/>
    <x v="0"/>
    <x v="0"/>
    <s v="SECCIÓN 04"/>
    <m/>
    <m/>
    <m/>
  </r>
  <r>
    <x v="0"/>
    <x v="0"/>
    <x v="0"/>
    <x v="0"/>
    <x v="0"/>
    <x v="0"/>
    <s v="INSTITUTO DE TURISMO DEL META"/>
    <m/>
    <m/>
    <m/>
  </r>
  <r>
    <x v="0"/>
    <x v="0"/>
    <x v="0"/>
    <x v="0"/>
    <x v="0"/>
    <x v="0"/>
    <s v="RUBRO"/>
    <m/>
    <s v="DESCRIPCIÓN "/>
    <s v="Recursos Propios"/>
  </r>
  <r>
    <x v="0"/>
    <x v="0"/>
    <x v="0"/>
    <x v="0"/>
    <x v="0"/>
    <x v="0"/>
    <s v="1"/>
    <s v=""/>
    <s v="INGRESOS"/>
    <n v="2327000000"/>
  </r>
  <r>
    <x v="0"/>
    <x v="0"/>
    <x v="0"/>
    <x v="0"/>
    <x v="0"/>
    <x v="0"/>
    <s v="1.1"/>
    <s v=""/>
    <s v="INGRESOS CORRIENTES"/>
    <n v="2327000000"/>
  </r>
  <r>
    <x v="0"/>
    <x v="0"/>
    <x v="0"/>
    <x v="0"/>
    <x v="0"/>
    <x v="0"/>
    <s v="1.1.02"/>
    <s v=""/>
    <s v="INGRESOS NO TRIBUTARIOS"/>
    <n v="2327000000"/>
  </r>
  <r>
    <x v="0"/>
    <x v="0"/>
    <x v="0"/>
    <x v="0"/>
    <x v="0"/>
    <x v="0"/>
    <s v="1.1.02.05"/>
    <s v=""/>
    <s v="VENTA DE BIENES Y SERVICIOS"/>
    <n v="2327000000"/>
  </r>
  <r>
    <x v="0"/>
    <x v="0"/>
    <x v="0"/>
    <x v="0"/>
    <x v="0"/>
    <x v="0"/>
    <s v="1.1.02.05.002"/>
    <s v=""/>
    <s v="VENTAS INCIDENTALES DE ESTABLECIMIENTOS NO DE MERCADO"/>
    <n v="2327000000"/>
  </r>
  <r>
    <x v="0"/>
    <x v="0"/>
    <x v="0"/>
    <x v="0"/>
    <x v="0"/>
    <x v="0"/>
    <s v="1.1.02.05.002.09"/>
    <s v=""/>
    <s v="SERVICIOS PARA LA COMUNIDAD SOCIALES Y PERSONALES"/>
    <n v="2327000000"/>
  </r>
  <r>
    <x v="0"/>
    <x v="0"/>
    <x v="0"/>
    <x v="0"/>
    <x v="0"/>
    <x v="0"/>
    <s v="1.1.02.05.002.09.06"/>
    <s v=""/>
    <s v="SERVICIOS RECREATIVOS CULTURALES Y DEPORTIVOS"/>
    <n v="2327000000"/>
  </r>
  <r>
    <x v="0"/>
    <x v="0"/>
    <x v="0"/>
    <x v="0"/>
    <x v="0"/>
    <x v="0"/>
    <s v="1.1.02.05.002.09.06.02"/>
    <s v=""/>
    <s v="SERVICIOS DE PROMOCION Y PRESENTACION DE ARTES ESCENICAS Y EVENTOS"/>
    <n v="2327000000"/>
  </r>
  <r>
    <x v="0"/>
    <x v="0"/>
    <x v="0"/>
    <x v="0"/>
    <x v="0"/>
    <x v="0"/>
    <s v="1.1.02.05.002.09.06.02.03"/>
    <s v=""/>
    <s v="SERVICIOS DE FUNCIONAMIENTO E INSTALACIONES E INFRAESTRUCTURA CULTURAL"/>
    <n v="150000000"/>
  </r>
  <r>
    <x v="2"/>
    <x v="9"/>
    <x v="1"/>
    <x v="1"/>
    <x v="1"/>
    <x v="2"/>
    <s v="1.1.02.05.002.09.06.02.03.01"/>
    <n v="199"/>
    <s v="servicios de funcionamiento e instalaciones e infraestructura cultural"/>
    <n v="150000000"/>
  </r>
  <r>
    <x v="0"/>
    <x v="0"/>
    <x v="0"/>
    <x v="0"/>
    <x v="0"/>
    <x v="0"/>
    <s v="1.1.02.05.002.09.06.04"/>
    <s v=""/>
    <s v="SERVICIOS DE MUSEOS Y PRESERVACION"/>
    <n v="2177000000"/>
  </r>
  <r>
    <x v="2"/>
    <x v="9"/>
    <x v="1"/>
    <x v="1"/>
    <x v="1"/>
    <x v="2"/>
    <s v="1.1.02.05.002.09.06.04.02"/>
    <s v="200"/>
    <s v="Servicios de jardines botánicos zoológicos y reservas naturales"/>
    <n v="2177000000"/>
  </r>
  <r>
    <x v="0"/>
    <x v="0"/>
    <x v="0"/>
    <x v="0"/>
    <x v="0"/>
    <x v="0"/>
    <s v="1.1.02.06"/>
    <s v=""/>
    <s v="TRANSFERENCIAS CORRIENTES"/>
    <n v="0"/>
  </r>
  <r>
    <x v="0"/>
    <x v="0"/>
    <x v="0"/>
    <x v="0"/>
    <x v="0"/>
    <x v="0"/>
    <s v="1.1.02.06.006"/>
    <s v=""/>
    <s v="TRANSFERENCIAS DE OTRAS ENTIDADES DEL GOBIERNO GENERAL"/>
    <n v="0"/>
  </r>
  <r>
    <x v="0"/>
    <x v="0"/>
    <x v="0"/>
    <x v="0"/>
    <x v="0"/>
    <x v="0"/>
    <s v="1.1.02.06.006.06"/>
    <s v=""/>
    <s v="OTRAS UNIDADES DE GOBIERNO"/>
    <n v="0"/>
  </r>
  <r>
    <x v="2"/>
    <x v="9"/>
    <x v="1"/>
    <x v="3"/>
    <x v="1"/>
    <x v="2"/>
    <s v="1.1.02.06.006.06.01"/>
    <s v="06"/>
    <s v="Transferencia departamento estampilla proturismo"/>
    <n v="0"/>
  </r>
  <r>
    <x v="2"/>
    <x v="9"/>
    <x v="1"/>
    <x v="6"/>
    <x v="1"/>
    <x v="2"/>
    <s v="1.1.02.06.006.06.02"/>
    <s v="20"/>
    <s v="Transferencia departamento"/>
    <n v="0"/>
  </r>
  <r>
    <x v="0"/>
    <x v="0"/>
    <x v="0"/>
    <x v="0"/>
    <x v="0"/>
    <x v="0"/>
    <s v="TOTAL SECCIÓN 04"/>
    <m/>
    <m/>
    <n v="2327000000"/>
  </r>
  <r>
    <x v="0"/>
    <x v="0"/>
    <x v="0"/>
    <x v="0"/>
    <x v="0"/>
    <x v="0"/>
    <m/>
    <m/>
    <m/>
    <m/>
  </r>
  <r>
    <x v="0"/>
    <x v="0"/>
    <x v="0"/>
    <x v="0"/>
    <x v="0"/>
    <x v="0"/>
    <s v="SECCIÓN 05"/>
    <m/>
    <m/>
    <m/>
  </r>
  <r>
    <x v="0"/>
    <x v="0"/>
    <x v="0"/>
    <x v="0"/>
    <x v="0"/>
    <x v="0"/>
    <s v="INSTITUTO DE TRANSITO DEL META"/>
    <m/>
    <m/>
    <m/>
  </r>
  <r>
    <x v="0"/>
    <x v="0"/>
    <x v="0"/>
    <x v="0"/>
    <x v="0"/>
    <x v="0"/>
    <s v="RUBRO"/>
    <m/>
    <s v="DESCRIPCIÓN "/>
    <m/>
  </r>
  <r>
    <x v="0"/>
    <x v="0"/>
    <x v="0"/>
    <x v="0"/>
    <x v="0"/>
    <x v="0"/>
    <s v="1"/>
    <m/>
    <s v="INGRESOS"/>
    <n v="9955331400"/>
  </r>
  <r>
    <x v="0"/>
    <x v="0"/>
    <x v="0"/>
    <x v="0"/>
    <x v="0"/>
    <x v="0"/>
    <s v="1.1"/>
    <m/>
    <s v="INGRESOS CORRIENTES"/>
    <n v="9937331400"/>
  </r>
  <r>
    <x v="0"/>
    <x v="0"/>
    <x v="0"/>
    <x v="0"/>
    <x v="0"/>
    <x v="0"/>
    <s v="1.1.02"/>
    <m/>
    <s v="INGRESOS NO TRIBUTARIOS"/>
    <n v="9937331400"/>
  </r>
  <r>
    <x v="0"/>
    <x v="0"/>
    <x v="0"/>
    <x v="0"/>
    <x v="0"/>
    <x v="0"/>
    <s v="1.1.02.02"/>
    <m/>
    <s v="TASAS Y DERECHOS ADMINISTRATIVOS"/>
    <n v="8957331400"/>
  </r>
  <r>
    <x v="0"/>
    <x v="0"/>
    <x v="0"/>
    <x v="0"/>
    <x v="0"/>
    <x v="0"/>
    <s v="1.1.02.02.102"/>
    <m/>
    <s v="Derechos de Transito"/>
    <n v="8957331400"/>
  </r>
  <r>
    <x v="2"/>
    <x v="10"/>
    <x v="1"/>
    <x v="1"/>
    <x v="1"/>
    <x v="2"/>
    <s v="1.1.02.02.102.01"/>
    <n v="300"/>
    <s v="Matricula Inicial"/>
    <n v="465571200"/>
  </r>
  <r>
    <x v="2"/>
    <x v="10"/>
    <x v="1"/>
    <x v="1"/>
    <x v="1"/>
    <x v="2"/>
    <s v="1.1.02.02.102.02"/>
    <n v="300"/>
    <s v="Placas"/>
    <n v="147426000"/>
  </r>
  <r>
    <x v="2"/>
    <x v="10"/>
    <x v="1"/>
    <x v="1"/>
    <x v="1"/>
    <x v="2"/>
    <s v="1.1.02.02.102.03"/>
    <n v="300"/>
    <s v="Traspasos"/>
    <n v="833166600"/>
  </r>
  <r>
    <x v="2"/>
    <x v="10"/>
    <x v="1"/>
    <x v="1"/>
    <x v="1"/>
    <x v="2"/>
    <s v="1.1.02.02.102.04"/>
    <n v="300"/>
    <s v="Licencias de Conduccion"/>
    <n v="646526000"/>
  </r>
  <r>
    <x v="2"/>
    <x v="10"/>
    <x v="1"/>
    <x v="1"/>
    <x v="1"/>
    <x v="2"/>
    <s v="1.1.02.02.102.05"/>
    <n v="300"/>
    <s v="Cambio de caracteristicas del Vehiculo Automotor"/>
    <n v="83535300"/>
  </r>
  <r>
    <x v="2"/>
    <x v="10"/>
    <x v="1"/>
    <x v="1"/>
    <x v="1"/>
    <x v="2"/>
    <s v="1.1.02.02.102.06"/>
    <n v="300"/>
    <s v="Cambio de Servicio de Vehiculo Automotor"/>
    <n v="2762000"/>
  </r>
  <r>
    <x v="2"/>
    <x v="10"/>
    <x v="1"/>
    <x v="1"/>
    <x v="1"/>
    <x v="2"/>
    <s v="1.1.02.02.102.07"/>
    <n v="300"/>
    <s v="Otros Servicios de Transito"/>
    <n v="6778344300"/>
  </r>
  <r>
    <x v="0"/>
    <x v="0"/>
    <x v="0"/>
    <x v="0"/>
    <x v="0"/>
    <x v="0"/>
    <s v="1.1.02.03"/>
    <m/>
    <s v="MULTAS  SANCIONES E INTERESES DE MORA"/>
    <n v="980000000"/>
  </r>
  <r>
    <x v="0"/>
    <x v="0"/>
    <x v="0"/>
    <x v="0"/>
    <x v="0"/>
    <x v="0"/>
    <s v="1.1.02.03.001"/>
    <m/>
    <s v="Multas y Sanciones"/>
    <n v="980000000"/>
  </r>
  <r>
    <x v="2"/>
    <x v="10"/>
    <x v="1"/>
    <x v="1"/>
    <x v="1"/>
    <x v="2"/>
    <s v="1.1.02.03.001.09"/>
    <n v="300"/>
    <s v="Multas de Transito y Transporte"/>
    <n v="980000000"/>
  </r>
  <r>
    <x v="0"/>
    <x v="0"/>
    <x v="0"/>
    <x v="0"/>
    <x v="0"/>
    <x v="0"/>
    <s v="1.2"/>
    <m/>
    <s v="RECURSOS DE CAPITAL"/>
    <n v="18000000"/>
  </r>
  <r>
    <x v="0"/>
    <x v="0"/>
    <x v="0"/>
    <x v="0"/>
    <x v="0"/>
    <x v="0"/>
    <s v="1.2.05"/>
    <m/>
    <s v="Rendimientos Financieros"/>
    <n v="18000000"/>
  </r>
  <r>
    <x v="2"/>
    <x v="10"/>
    <x v="1"/>
    <x v="1"/>
    <x v="2"/>
    <x v="5"/>
    <s v="1.2.05.02"/>
    <n v="300"/>
    <s v="Depositos"/>
    <n v="18000000"/>
  </r>
  <r>
    <x v="0"/>
    <x v="0"/>
    <x v="0"/>
    <x v="0"/>
    <x v="0"/>
    <x v="0"/>
    <s v="TOTAL SECCIÓN 05"/>
    <m/>
    <m/>
    <n v="9955331400"/>
  </r>
  <r>
    <x v="0"/>
    <x v="0"/>
    <x v="0"/>
    <x v="0"/>
    <x v="0"/>
    <x v="0"/>
    <m/>
    <m/>
    <m/>
    <m/>
  </r>
  <r>
    <x v="0"/>
    <x v="0"/>
    <x v="0"/>
    <x v="0"/>
    <x v="0"/>
    <x v="0"/>
    <s v="SECCIÓN 06"/>
    <m/>
    <m/>
    <m/>
  </r>
  <r>
    <x v="0"/>
    <x v="0"/>
    <x v="0"/>
    <x v="0"/>
    <x v="0"/>
    <x v="0"/>
    <s v="UNIDAD DE LICORES DEL META"/>
    <m/>
    <m/>
    <m/>
  </r>
  <r>
    <x v="0"/>
    <x v="0"/>
    <x v="0"/>
    <x v="0"/>
    <x v="0"/>
    <x v="0"/>
    <s v="RUBRO"/>
    <m/>
    <s v="DESCRIPCIÓN "/>
    <m/>
  </r>
  <r>
    <x v="0"/>
    <x v="0"/>
    <x v="0"/>
    <x v="0"/>
    <x v="0"/>
    <x v="0"/>
    <n v="1"/>
    <m/>
    <s v="INGRESOS PROPIOS"/>
    <n v="4006372500"/>
  </r>
  <r>
    <x v="0"/>
    <x v="0"/>
    <x v="0"/>
    <x v="0"/>
    <x v="0"/>
    <x v="0"/>
    <s v="1.1"/>
    <m/>
    <s v="INGRESOS CORRIENTES"/>
    <n v="4006172500"/>
  </r>
  <r>
    <x v="0"/>
    <x v="0"/>
    <x v="0"/>
    <x v="0"/>
    <x v="0"/>
    <x v="0"/>
    <s v="1.1.2"/>
    <m/>
    <s v="Ingresos No Tributarios"/>
    <n v="4006172500"/>
  </r>
  <r>
    <x v="0"/>
    <x v="0"/>
    <x v="0"/>
    <x v="0"/>
    <x v="0"/>
    <x v="0"/>
    <s v="1.1.02.05"/>
    <m/>
    <s v="Ventas de bienes y servicios"/>
    <n v="4006172500"/>
  </r>
  <r>
    <x v="0"/>
    <x v="0"/>
    <x v="0"/>
    <x v="0"/>
    <x v="0"/>
    <x v="0"/>
    <s v="1.1.02.05.001"/>
    <m/>
    <s v="Ventas de establecimientos de mercado"/>
    <n v="4006172500"/>
  </r>
  <r>
    <x v="2"/>
    <x v="11"/>
    <x v="1"/>
    <x v="1"/>
    <x v="1"/>
    <x v="2"/>
    <s v="1.1.02.05.001.02"/>
    <n v="400"/>
    <s v="Productos alimenticios, bebidas"/>
    <n v="4006172500"/>
  </r>
  <r>
    <x v="0"/>
    <x v="0"/>
    <x v="0"/>
    <x v="0"/>
    <x v="0"/>
    <x v="0"/>
    <s v="1.2"/>
    <m/>
    <s v="RECURSOS DE CAPITAL"/>
    <n v="200000"/>
  </r>
  <r>
    <x v="0"/>
    <x v="0"/>
    <x v="0"/>
    <x v="0"/>
    <x v="0"/>
    <x v="0"/>
    <s v="1.2.02"/>
    <m/>
    <s v="EXCEDENTES FINANCIEROS"/>
    <n v="0"/>
  </r>
  <r>
    <x v="2"/>
    <x v="11"/>
    <x v="1"/>
    <x v="1"/>
    <x v="2"/>
    <x v="3"/>
    <s v="1.2.02.01"/>
    <n v="400"/>
    <s v="Establecimientos publicos"/>
    <n v="0"/>
  </r>
  <r>
    <x v="0"/>
    <x v="0"/>
    <x v="0"/>
    <x v="0"/>
    <x v="0"/>
    <x v="0"/>
    <s v="1.2.05"/>
    <m/>
    <s v="RENDIMIENTOS FINANCIEROS"/>
    <n v="200000"/>
  </r>
  <r>
    <x v="2"/>
    <x v="11"/>
    <x v="1"/>
    <x v="1"/>
    <x v="2"/>
    <x v="5"/>
    <s v="1.2.05.02"/>
    <n v="400"/>
    <s v="Depositos"/>
    <n v="200000"/>
  </r>
  <r>
    <x v="0"/>
    <x v="0"/>
    <x v="0"/>
    <x v="0"/>
    <x v="0"/>
    <x v="0"/>
    <s v="TOTAL SECCIÓN 06"/>
    <m/>
    <m/>
    <n v="4006372500"/>
  </r>
  <r>
    <x v="0"/>
    <x v="0"/>
    <x v="0"/>
    <x v="0"/>
    <x v="0"/>
    <x v="0"/>
    <m/>
    <m/>
    <m/>
    <m/>
  </r>
  <r>
    <x v="0"/>
    <x v="0"/>
    <x v="0"/>
    <x v="0"/>
    <x v="0"/>
    <x v="0"/>
    <s v="SECCIÓN 07"/>
    <m/>
    <m/>
    <m/>
  </r>
  <r>
    <x v="0"/>
    <x v="0"/>
    <x v="0"/>
    <x v="0"/>
    <x v="0"/>
    <x v="0"/>
    <s v="CASA DE LA CULTURA JORGE ELIECER GAITAN"/>
    <m/>
    <m/>
    <m/>
  </r>
  <r>
    <x v="0"/>
    <x v="0"/>
    <x v="0"/>
    <x v="0"/>
    <x v="0"/>
    <x v="0"/>
    <s v="RUBRO"/>
    <m/>
    <s v="DESCRIPCIÓN "/>
    <m/>
  </r>
  <r>
    <x v="0"/>
    <x v="0"/>
    <x v="0"/>
    <x v="0"/>
    <x v="0"/>
    <x v="0"/>
    <s v="1"/>
    <m/>
    <s v="INGRESOS"/>
    <n v="0"/>
  </r>
  <r>
    <x v="0"/>
    <x v="0"/>
    <x v="0"/>
    <x v="0"/>
    <x v="0"/>
    <x v="0"/>
    <s v="1.1"/>
    <m/>
    <s v="Ingresos Corrientes"/>
    <n v="0"/>
  </r>
  <r>
    <x v="0"/>
    <x v="0"/>
    <x v="0"/>
    <x v="0"/>
    <x v="0"/>
    <x v="0"/>
    <s v="1.1.02"/>
    <m/>
    <s v="No Tributarios"/>
    <n v="0"/>
  </r>
  <r>
    <x v="0"/>
    <x v="0"/>
    <x v="0"/>
    <x v="0"/>
    <x v="0"/>
    <x v="0"/>
    <s v="1.1.02.05"/>
    <m/>
    <s v="Venta de bienes y servicios"/>
    <n v="0"/>
  </r>
  <r>
    <x v="0"/>
    <x v="0"/>
    <x v="0"/>
    <x v="0"/>
    <x v="0"/>
    <x v="0"/>
    <s v="1.1.02.05.002"/>
    <m/>
    <s v="Ventas incidentales de establecimientos no de mercado"/>
    <n v="0"/>
  </r>
  <r>
    <x v="2"/>
    <x v="12"/>
    <x v="1"/>
    <x v="6"/>
    <x v="1"/>
    <x v="2"/>
    <s v="1.1.02.05.002.07"/>
    <n v="600"/>
    <s v="Servicios financieros y servicios conexos, servicios inmobiliarios y servicios de arrendamiento y leasing"/>
    <n v="0"/>
  </r>
  <r>
    <x v="2"/>
    <x v="12"/>
    <x v="1"/>
    <x v="6"/>
    <x v="1"/>
    <x v="2"/>
    <s v="1.1.02.05.002.08"/>
    <n v="600"/>
    <s v="Servicios prestados a las empresas y servicios de produccion"/>
    <n v="0"/>
  </r>
  <r>
    <x v="0"/>
    <x v="0"/>
    <x v="0"/>
    <x v="0"/>
    <x v="0"/>
    <x v="0"/>
    <s v="1.1.02.06"/>
    <m/>
    <s v="Transferencias Corrientes"/>
    <n v="0"/>
  </r>
  <r>
    <x v="0"/>
    <x v="0"/>
    <x v="0"/>
    <x v="0"/>
    <x v="0"/>
    <x v="0"/>
    <s v="1.1.02.06.006"/>
    <m/>
    <s v="Transferencias de otras entidades del gobierno general"/>
    <n v="0"/>
  </r>
  <r>
    <x v="0"/>
    <x v="0"/>
    <x v="0"/>
    <x v="0"/>
    <x v="0"/>
    <x v="0"/>
    <s v="1.1.02.06.006.01"/>
    <m/>
    <s v="Aportes Nación"/>
    <n v="0"/>
  </r>
  <r>
    <x v="0"/>
    <x v="0"/>
    <x v="0"/>
    <x v="0"/>
    <x v="0"/>
    <x v="0"/>
    <s v="1.1.02.06.006.06"/>
    <m/>
    <s v="Otras unidades de gobierno"/>
    <n v="0"/>
  </r>
  <r>
    <x v="2"/>
    <x v="12"/>
    <x v="1"/>
    <x v="6"/>
    <x v="1"/>
    <x v="2"/>
    <s v="1.1.02.06.006.06-01"/>
    <n v="20"/>
    <s v="Transferencias del Depto para Funcionamiento"/>
    <s v=" "/>
  </r>
  <r>
    <x v="2"/>
    <x v="12"/>
    <x v="1"/>
    <x v="6"/>
    <x v="1"/>
    <x v="2"/>
    <s v="1.1.02.06.006.06-02"/>
    <n v="20"/>
    <s v="Transferencias del  Depto  para Inversión "/>
    <n v="0"/>
  </r>
  <r>
    <x v="0"/>
    <x v="0"/>
    <x v="0"/>
    <x v="0"/>
    <x v="0"/>
    <x v="0"/>
    <s v="1.2"/>
    <m/>
    <s v="Recursos de Capital"/>
    <n v="0"/>
  </r>
  <r>
    <x v="0"/>
    <x v="0"/>
    <x v="0"/>
    <x v="0"/>
    <x v="0"/>
    <x v="0"/>
    <s v="1.2.05"/>
    <m/>
    <s v="Rendimientos Financieros"/>
    <n v="0"/>
  </r>
  <r>
    <x v="2"/>
    <x v="12"/>
    <x v="1"/>
    <x v="6"/>
    <x v="2"/>
    <x v="5"/>
    <s v="1.2.05.02"/>
    <n v="20"/>
    <s v="Depositos"/>
    <n v="0"/>
  </r>
  <r>
    <x v="0"/>
    <x v="0"/>
    <x v="0"/>
    <x v="0"/>
    <x v="0"/>
    <x v="0"/>
    <s v="1.2.10"/>
    <m/>
    <s v="Recursos del Balance"/>
    <n v="0"/>
  </r>
  <r>
    <x v="2"/>
    <x v="12"/>
    <x v="1"/>
    <x v="6"/>
    <x v="2"/>
    <x v="8"/>
    <s v="1.2.10.02"/>
    <n v="20"/>
    <s v="Superavit fiscal"/>
    <n v="0"/>
  </r>
  <r>
    <x v="0"/>
    <x v="0"/>
    <x v="0"/>
    <x v="0"/>
    <x v="0"/>
    <x v="0"/>
    <s v="1.2.13"/>
    <m/>
    <s v="Reintegros y otros recursos no apropiados"/>
    <n v="0"/>
  </r>
  <r>
    <x v="0"/>
    <x v="0"/>
    <x v="0"/>
    <x v="0"/>
    <x v="0"/>
    <x v="0"/>
    <s v="1.2.13.01"/>
    <m/>
    <s v="Reintegros"/>
    <n v="0"/>
  </r>
  <r>
    <x v="2"/>
    <x v="12"/>
    <x v="1"/>
    <x v="6"/>
    <x v="2"/>
    <x v="9"/>
    <s v="1.2.13.02"/>
    <n v="20"/>
    <s v="Recursos no apropiados"/>
    <n v="0"/>
  </r>
  <r>
    <x v="0"/>
    <x v="0"/>
    <x v="0"/>
    <x v="0"/>
    <x v="0"/>
    <x v="0"/>
    <m/>
    <m/>
    <m/>
    <m/>
  </r>
  <r>
    <x v="0"/>
    <x v="0"/>
    <x v="0"/>
    <x v="0"/>
    <x v="0"/>
    <x v="0"/>
    <m/>
    <m/>
    <m/>
    <m/>
  </r>
  <r>
    <x v="0"/>
    <x v="0"/>
    <x v="0"/>
    <x v="0"/>
    <x v="0"/>
    <x v="0"/>
    <s v="TOTAL SECCIÓN 07"/>
    <m/>
    <m/>
    <n v="0"/>
  </r>
  <r>
    <x v="0"/>
    <x v="0"/>
    <x v="0"/>
    <x v="0"/>
    <x v="0"/>
    <x v="0"/>
    <m/>
    <m/>
    <m/>
    <m/>
  </r>
  <r>
    <x v="0"/>
    <x v="0"/>
    <x v="0"/>
    <x v="0"/>
    <x v="0"/>
    <x v="0"/>
    <s v="SECCIÓN 08"/>
    <m/>
    <m/>
    <m/>
  </r>
  <r>
    <x v="0"/>
    <x v="0"/>
    <x v="0"/>
    <x v="0"/>
    <x v="0"/>
    <x v="0"/>
    <s v="AGENCIA PARA LA INFRAESTRUCTURA DEL META"/>
    <m/>
    <m/>
    <m/>
  </r>
  <r>
    <x v="0"/>
    <x v="0"/>
    <x v="0"/>
    <x v="0"/>
    <x v="0"/>
    <x v="0"/>
    <s v="IDENTIFICACIÓN PRESUPUESTAL"/>
    <m/>
    <s v="DESCRIPCIÓN"/>
    <m/>
  </r>
  <r>
    <x v="0"/>
    <x v="0"/>
    <x v="0"/>
    <x v="0"/>
    <x v="0"/>
    <x v="0"/>
    <s v="1003 - 1"/>
    <m/>
    <s v="INGRESOS "/>
    <n v="53826083191"/>
  </r>
  <r>
    <x v="0"/>
    <x v="0"/>
    <x v="0"/>
    <x v="0"/>
    <x v="0"/>
    <x v="0"/>
    <s v="1003 - 1.1 "/>
    <m/>
    <s v="INGRESOS CORRIENTES"/>
    <n v="0"/>
  </r>
  <r>
    <x v="0"/>
    <x v="0"/>
    <x v="0"/>
    <x v="0"/>
    <x v="0"/>
    <x v="0"/>
    <s v="1003 - 1.1.02"/>
    <m/>
    <s v="INGRESOS NO TRIBUTARIOS"/>
    <n v="0"/>
  </r>
  <r>
    <x v="0"/>
    <x v="0"/>
    <x v="0"/>
    <x v="0"/>
    <x v="0"/>
    <x v="0"/>
    <s v="1003 - 1.1.02.06"/>
    <m/>
    <s v="TRANSFERENCIAS CORRIENTES"/>
    <n v="0"/>
  </r>
  <r>
    <x v="0"/>
    <x v="0"/>
    <x v="0"/>
    <x v="0"/>
    <x v="0"/>
    <x v="0"/>
    <s v="1003 - 1.1.02.06.006"/>
    <m/>
    <s v="TRANSFERENCIAS DE OTRAS ENTIDADES DEL GOBIERNO GENERAL - TRANSFERENCIA DEL DEPARTAMENTO DEL META"/>
    <n v="0"/>
  </r>
  <r>
    <x v="0"/>
    <x v="0"/>
    <x v="0"/>
    <x v="0"/>
    <x v="0"/>
    <x v="0"/>
    <s v="1003 - 1.1.02.06.006.06"/>
    <m/>
    <s v="OTRAS UNIDADES DEL GOBIERNO"/>
    <n v="0"/>
  </r>
  <r>
    <x v="2"/>
    <x v="13"/>
    <x v="1"/>
    <x v="1"/>
    <x v="1"/>
    <x v="2"/>
    <s v="1003 - 1.1.02.06.006.06 01 - 03"/>
    <n v="3"/>
    <s v="Funcionamiento"/>
    <n v="0"/>
  </r>
  <r>
    <x v="2"/>
    <x v="13"/>
    <x v="1"/>
    <x v="6"/>
    <x v="1"/>
    <x v="2"/>
    <s v="1003 - 1.1.02.06.006.06 01 - 20"/>
    <n v="20"/>
    <s v="Funcionamiento"/>
    <n v="0"/>
  </r>
  <r>
    <x v="0"/>
    <x v="0"/>
    <x v="0"/>
    <x v="0"/>
    <x v="0"/>
    <x v="0"/>
    <s v="1003 - 1.2"/>
    <m/>
    <s v="RECURSOS DE CAPITAL"/>
    <n v="53826083191"/>
  </r>
  <r>
    <x v="0"/>
    <x v="0"/>
    <x v="0"/>
    <x v="0"/>
    <x v="0"/>
    <x v="0"/>
    <s v="1003 - 1.2.08"/>
    <m/>
    <s v="Transferencias de capital"/>
    <n v="53826083191"/>
  </r>
  <r>
    <x v="0"/>
    <x v="0"/>
    <x v="0"/>
    <x v="0"/>
    <x v="0"/>
    <x v="0"/>
    <s v="1003 - 1.2.08.06"/>
    <m/>
    <s v="De otras entidades del gobierno general"/>
    <n v="53826083191"/>
  </r>
  <r>
    <x v="0"/>
    <x v="0"/>
    <x v="0"/>
    <x v="0"/>
    <x v="0"/>
    <x v="0"/>
    <s v="1003 - 1.2.08.06.002"/>
    <m/>
    <s v="Condicionadas a la adquisición de un activo"/>
    <n v="53826083191"/>
  </r>
  <r>
    <x v="2"/>
    <x v="13"/>
    <x v="1"/>
    <x v="1"/>
    <x v="2"/>
    <x v="11"/>
    <s v="1003 - 1.2.08.06.002.01 - 04"/>
    <n v="4"/>
    <s v="Transferencias para Inversión"/>
    <n v="0"/>
  </r>
  <r>
    <x v="2"/>
    <x v="13"/>
    <x v="1"/>
    <x v="1"/>
    <x v="2"/>
    <x v="11"/>
    <s v="1003 - 1.2.08.06.002.01 - 05"/>
    <n v="5"/>
    <s v="Transferencias para Inversión"/>
    <n v="0"/>
  </r>
  <r>
    <x v="2"/>
    <x v="13"/>
    <x v="1"/>
    <x v="1"/>
    <x v="2"/>
    <x v="11"/>
    <s v="1003 - 1.2.08.06.002.01 - 08"/>
    <n v="8"/>
    <s v="Transferencias para Inversión"/>
    <n v="0"/>
  </r>
  <r>
    <x v="2"/>
    <x v="13"/>
    <x v="1"/>
    <x v="6"/>
    <x v="2"/>
    <x v="11"/>
    <s v="1003 - 1.2.08.06.002.01 - 20"/>
    <n v="20"/>
    <s v="Transferencias para Inversión"/>
    <n v="0"/>
  </r>
  <r>
    <x v="2"/>
    <x v="13"/>
    <x v="1"/>
    <x v="1"/>
    <x v="2"/>
    <x v="11"/>
    <s v="1003 - 1.2.08.06.002.01 - 23"/>
    <n v="23"/>
    <s v="Transferencias para Inversión"/>
    <n v="0"/>
  </r>
  <r>
    <x v="2"/>
    <x v="13"/>
    <x v="1"/>
    <x v="1"/>
    <x v="2"/>
    <x v="11"/>
    <s v="1003 - 1.2.08.06.002.01 - 23F"/>
    <n v="23"/>
    <s v="Transferencias para Inversión"/>
    <n v="0"/>
  </r>
  <r>
    <x v="2"/>
    <x v="13"/>
    <x v="1"/>
    <x v="1"/>
    <x v="2"/>
    <x v="11"/>
    <s v="1003 - 1.2.08.06.002.01 - 312"/>
    <n v="312"/>
    <s v="Transferencias para Inversión"/>
    <n v="21000000000"/>
  </r>
  <r>
    <x v="2"/>
    <x v="13"/>
    <x v="1"/>
    <x v="1"/>
    <x v="2"/>
    <x v="11"/>
    <s v="1003 - 1.2.08.06.002.01 - 316"/>
    <n v="316"/>
    <s v="Transferencias para Inversión"/>
    <n v="32826083191"/>
  </r>
  <r>
    <x v="0"/>
    <x v="0"/>
    <x v="0"/>
    <x v="0"/>
    <x v="0"/>
    <x v="0"/>
    <s v="TOTAL SECCIÓN 08"/>
    <m/>
    <m/>
    <n v="538260831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0B18B0-00EA-45D8-92B9-459969FB1AA2}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17:F26" firstHeaderRow="1" firstDataRow="1" firstDataCol="1"/>
  <pivotFields count="10">
    <pivotField axis="axisRow" showAll="0">
      <items count="4">
        <item h="1" x="1"/>
        <item x="2"/>
        <item h="1" x="0"/>
        <item t="default"/>
      </items>
    </pivotField>
    <pivotField axis="axisRow" showAll="0">
      <items count="15">
        <item x="13"/>
        <item x="12"/>
        <item x="1"/>
        <item x="2"/>
        <item x="6"/>
        <item x="3"/>
        <item x="4"/>
        <item x="7"/>
        <item x="9"/>
        <item x="8"/>
        <item x="10"/>
        <item x="11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2">
    <field x="0"/>
    <field x="1"/>
  </rowFields>
  <rowItems count="9">
    <i>
      <x v="1"/>
    </i>
    <i r="1">
      <x/>
    </i>
    <i r="1">
      <x v="1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a de 2026" fld="9" baseField="0" baseItem="0" numFmtId="166"/>
  </dataFields>
  <formats count="2">
    <format dxfId="28">
      <pivotArea outline="0" collapsedLevelsAreSubtotals="1" fieldPosition="0"/>
    </format>
    <format dxfId="2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8BF6A2-F892-4C89-B45E-97B6201D0699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3:C6" firstHeaderRow="1" firstDataRow="1" firstDataCol="1"/>
  <pivotFields count="10">
    <pivotField axis="axisRow" showAll="0">
      <items count="4">
        <item x="1"/>
        <item x="2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a de 2026" fld="9" baseField="0" baseItem="0" numFmtId="166"/>
  </dataFields>
  <formats count="2">
    <format dxfId="30">
      <pivotArea outline="0" collapsedLevelsAreSubtotals="1" fieldPosition="0"/>
    </format>
    <format dxfId="2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E80C81-F189-4E83-919C-16591DF94B17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3:L29" firstHeaderRow="1" firstDataRow="1" firstDataCol="1"/>
  <pivotFields count="10">
    <pivotField axis="axisRow" showAll="0">
      <items count="4">
        <item x="1"/>
        <item h="1" x="2"/>
        <item h="1" x="0"/>
        <item t="default"/>
      </items>
    </pivotField>
    <pivotField axis="axisRow" showAll="0">
      <items count="15">
        <item x="13"/>
        <item x="12"/>
        <item x="1"/>
        <item x="2"/>
        <item x="6"/>
        <item x="3"/>
        <item x="4"/>
        <item x="7"/>
        <item x="9"/>
        <item x="8"/>
        <item x="10"/>
        <item x="11"/>
        <item x="0"/>
        <item x="5"/>
        <item t="default"/>
      </items>
    </pivotField>
    <pivotField showAll="0"/>
    <pivotField axis="axisRow" showAll="0">
      <items count="11">
        <item x="5"/>
        <item x="7"/>
        <item x="3"/>
        <item x="1"/>
        <item x="9"/>
        <item x="2"/>
        <item x="6"/>
        <item x="8"/>
        <item x="4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3">
    <field x="0"/>
    <field x="1"/>
    <field x="3"/>
  </rowFields>
  <rowItems count="26">
    <i>
      <x/>
    </i>
    <i r="1">
      <x v="2"/>
    </i>
    <i r="2">
      <x/>
    </i>
    <i r="2">
      <x v="1"/>
    </i>
    <i r="2">
      <x v="2"/>
    </i>
    <i r="2">
      <x v="3"/>
    </i>
    <i r="2">
      <x v="5"/>
    </i>
    <i r="2">
      <x v="6"/>
    </i>
    <i r="2">
      <x v="7"/>
    </i>
    <i r="2">
      <x v="8"/>
    </i>
    <i r="1">
      <x v="3"/>
    </i>
    <i r="2">
      <x/>
    </i>
    <i r="2">
      <x v="3"/>
    </i>
    <i r="2">
      <x v="8"/>
    </i>
    <i r="1">
      <x v="4"/>
    </i>
    <i r="2">
      <x v="2"/>
    </i>
    <i r="2">
      <x v="3"/>
    </i>
    <i r="1">
      <x v="5"/>
    </i>
    <i r="2">
      <x v="2"/>
    </i>
    <i r="2">
      <x v="4"/>
    </i>
    <i r="2">
      <x v="8"/>
    </i>
    <i r="1">
      <x v="6"/>
    </i>
    <i r="2">
      <x v="3"/>
    </i>
    <i r="1">
      <x v="13"/>
    </i>
    <i r="2">
      <x v="3"/>
    </i>
    <i t="grand">
      <x/>
    </i>
  </rowItems>
  <colItems count="1">
    <i/>
  </colItems>
  <dataFields count="1">
    <dataField name="Suma de 2026" fld="9" baseField="0" baseItem="0" numFmtId="166"/>
  </dataFields>
  <formats count="2">
    <format dxfId="32">
      <pivotArea outline="0" collapsedLevelsAreSubtotals="1" fieldPosition="0"/>
    </format>
    <format dxfId="3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79D1D6-1726-4849-A236-FBDD8F3F853C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3:F11" firstHeaderRow="1" firstDataRow="1" firstDataCol="1"/>
  <pivotFields count="10">
    <pivotField axis="axisRow" showAll="0">
      <items count="4">
        <item x="1"/>
        <item h="1" x="2"/>
        <item h="1" x="0"/>
        <item t="default"/>
      </items>
    </pivotField>
    <pivotField axis="axisRow" showAll="0">
      <items count="15">
        <item x="13"/>
        <item x="12"/>
        <item x="1"/>
        <item x="2"/>
        <item x="6"/>
        <item x="3"/>
        <item x="4"/>
        <item x="7"/>
        <item x="9"/>
        <item x="8"/>
        <item x="10"/>
        <item x="11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2">
    <field x="0"/>
    <field x="1"/>
  </rowFields>
  <rowItems count="8">
    <i>
      <x/>
    </i>
    <i r="1">
      <x v="2"/>
    </i>
    <i r="1">
      <x v="3"/>
    </i>
    <i r="1">
      <x v="4"/>
    </i>
    <i r="1">
      <x v="5"/>
    </i>
    <i r="1">
      <x v="6"/>
    </i>
    <i r="1">
      <x v="13"/>
    </i>
    <i t="grand">
      <x/>
    </i>
  </rowItems>
  <colItems count="1">
    <i/>
  </colItems>
  <dataFields count="1">
    <dataField name="Suma de 2026" fld="9" baseField="0" baseItem="0" numFmtId="166"/>
  </dataFields>
  <formats count="2">
    <format dxfId="34">
      <pivotArea outline="0" collapsedLevelsAreSubtotals="1" fieldPosition="0"/>
    </format>
    <format dxfId="3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9E3F2D-6644-4E2F-B7CF-D7091A7582C6}" name="TablaDiná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Q3:R56" firstHeaderRow="1" firstDataRow="1" firstDataCol="1"/>
  <pivotFields count="10">
    <pivotField axis="axisRow" showAll="0">
      <items count="4">
        <item x="1"/>
        <item h="1" x="2"/>
        <item h="1" x="0"/>
        <item t="default"/>
      </items>
    </pivotField>
    <pivotField axis="axisRow" showAll="0">
      <items count="15">
        <item x="13"/>
        <item x="12"/>
        <item x="1"/>
        <item x="2"/>
        <item x="6"/>
        <item x="3"/>
        <item x="4"/>
        <item x="7"/>
        <item x="9"/>
        <item x="8"/>
        <item x="10"/>
        <item x="11"/>
        <item x="0"/>
        <item x="5"/>
        <item t="default"/>
      </items>
    </pivotField>
    <pivotField showAll="0"/>
    <pivotField showAll="0">
      <items count="11">
        <item x="5"/>
        <item x="7"/>
        <item x="3"/>
        <item x="1"/>
        <item x="9"/>
        <item x="2"/>
        <item x="6"/>
        <item x="8"/>
        <item x="4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axis="axisRow" showAll="0">
      <items count="16">
        <item x="7"/>
        <item x="6"/>
        <item x="4"/>
        <item x="3"/>
        <item x="2"/>
        <item x="10"/>
        <item x="12"/>
        <item x="9"/>
        <item x="5"/>
        <item x="13"/>
        <item x="8"/>
        <item x="14"/>
        <item x="11"/>
        <item x="1"/>
        <item x="0"/>
        <item t="default"/>
      </items>
    </pivotField>
    <pivotField showAll="0"/>
    <pivotField showAll="0"/>
    <pivotField showAll="0"/>
    <pivotField dataField="1" showAll="0"/>
  </pivotFields>
  <rowFields count="4">
    <field x="0"/>
    <field x="1"/>
    <field x="4"/>
    <field x="5"/>
  </rowFields>
  <rowItems count="53">
    <i>
      <x/>
    </i>
    <i r="1">
      <x v="2"/>
    </i>
    <i r="2">
      <x/>
    </i>
    <i r="3">
      <x/>
    </i>
    <i r="3">
      <x v="1"/>
    </i>
    <i r="3">
      <x v="2"/>
    </i>
    <i r="3">
      <x v="3"/>
    </i>
    <i r="3">
      <x v="5"/>
    </i>
    <i r="3">
      <x v="7"/>
    </i>
    <i r="3">
      <x v="8"/>
    </i>
    <i r="3">
      <x v="10"/>
    </i>
    <i r="2">
      <x v="1"/>
    </i>
    <i r="3">
      <x v="4"/>
    </i>
    <i r="3">
      <x v="13"/>
    </i>
    <i r="1">
      <x v="3"/>
    </i>
    <i r="2">
      <x/>
    </i>
    <i r="3">
      <x v="7"/>
    </i>
    <i r="3">
      <x v="8"/>
    </i>
    <i r="3">
      <x v="10"/>
    </i>
    <i r="2">
      <x v="1"/>
    </i>
    <i r="3">
      <x v="4"/>
    </i>
    <i r="1">
      <x v="4"/>
    </i>
    <i r="2">
      <x/>
    </i>
    <i r="3">
      <x v="7"/>
    </i>
    <i r="3">
      <x v="8"/>
    </i>
    <i r="3">
      <x v="9"/>
    </i>
    <i r="3">
      <x v="10"/>
    </i>
    <i r="2">
      <x v="1"/>
    </i>
    <i r="3">
      <x v="4"/>
    </i>
    <i r="3">
      <x v="13"/>
    </i>
    <i r="1">
      <x v="5"/>
    </i>
    <i r="2">
      <x/>
    </i>
    <i r="3">
      <x v="7"/>
    </i>
    <i r="3">
      <x v="8"/>
    </i>
    <i r="3">
      <x v="10"/>
    </i>
    <i r="3">
      <x v="12"/>
    </i>
    <i r="2">
      <x v="1"/>
    </i>
    <i r="3">
      <x v="4"/>
    </i>
    <i r="3">
      <x v="13"/>
    </i>
    <i r="1">
      <x v="6"/>
    </i>
    <i r="2">
      <x/>
    </i>
    <i r="3">
      <x v="8"/>
    </i>
    <i r="3">
      <x v="10"/>
    </i>
    <i r="2">
      <x v="1"/>
    </i>
    <i r="3">
      <x v="4"/>
    </i>
    <i r="1">
      <x v="13"/>
    </i>
    <i r="2">
      <x/>
    </i>
    <i r="3">
      <x v="6"/>
    </i>
    <i r="3">
      <x v="8"/>
    </i>
    <i r="3">
      <x v="10"/>
    </i>
    <i r="2">
      <x v="1"/>
    </i>
    <i r="3">
      <x v="4"/>
    </i>
    <i t="grand">
      <x/>
    </i>
  </rowItems>
  <colItems count="1">
    <i/>
  </colItems>
  <dataFields count="1">
    <dataField name="Suma de 2026" fld="9" baseField="0" baseItem="0" numFmtId="166"/>
  </dataFields>
  <formats count="2">
    <format dxfId="36">
      <pivotArea outline="0" collapsedLevelsAreSubtotals="1" fieldPosition="0"/>
    </format>
    <format dxfId="3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091195-B56D-450A-9EF6-FACB262B669A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3:I10" firstHeaderRow="1" firstDataRow="1" firstDataCol="1" rowPageCount="1" colPageCount="1"/>
  <pivotFields count="10">
    <pivotField axis="axisRow" showAll="0">
      <items count="4">
        <item x="1"/>
        <item h="1" x="2"/>
        <item h="1" x="0"/>
        <item t="default"/>
      </items>
    </pivotField>
    <pivotField axis="axisPage" multipleItemSelectionAllowed="1" showAll="0">
      <items count="15">
        <item h="1" x="13"/>
        <item h="1" x="12"/>
        <item h="1" x="1"/>
        <item h="1" x="2"/>
        <item h="1" x="5"/>
        <item h="1" x="6"/>
        <item x="3"/>
        <item h="1" x="4"/>
        <item h="1" x="7"/>
        <item h="1" x="9"/>
        <item h="1" x="8"/>
        <item h="1" x="10"/>
        <item h="1" x="11"/>
        <item h="1" x="0"/>
        <item t="default"/>
      </items>
    </pivotField>
    <pivotField axis="axisRow" showAll="0">
      <items count="8">
        <item x="1"/>
        <item x="2"/>
        <item x="3"/>
        <item x="5"/>
        <item x="6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2">
    <field x="0"/>
    <field x="2"/>
  </rowFields>
  <rowItems count="7">
    <i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pageFields count="1">
    <pageField fld="1" hier="-1"/>
  </pageFields>
  <dataFields count="1">
    <dataField name="Suma de 2026" fld="9" baseField="0" baseItem="0" numFmtId="166"/>
  </dataFields>
  <formats count="2">
    <format dxfId="38">
      <pivotArea outline="0" collapsedLevelsAreSubtotals="1" fieldPosition="0"/>
    </format>
    <format dxfId="3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02B215-A183-48BE-91DF-B23679D66EEB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N3:O23" firstHeaderRow="1" firstDataRow="1" firstDataCol="1"/>
  <pivotFields count="10">
    <pivotField axis="axisRow" showAll="0">
      <items count="4">
        <item x="1"/>
        <item h="1" x="2"/>
        <item h="1" x="0"/>
        <item t="default"/>
      </items>
    </pivotField>
    <pivotField axis="axisRow" showAll="0">
      <items count="15">
        <item x="13"/>
        <item x="12"/>
        <item x="1"/>
        <item x="2"/>
        <item x="6"/>
        <item x="3"/>
        <item x="4"/>
        <item x="7"/>
        <item x="9"/>
        <item x="8"/>
        <item x="10"/>
        <item x="11"/>
        <item x="0"/>
        <item x="5"/>
        <item t="default"/>
      </items>
    </pivotField>
    <pivotField showAll="0"/>
    <pivotField showAll="0">
      <items count="11">
        <item x="5"/>
        <item x="7"/>
        <item x="3"/>
        <item x="1"/>
        <item x="9"/>
        <item x="2"/>
        <item x="6"/>
        <item x="8"/>
        <item x="4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3">
    <field x="0"/>
    <field x="1"/>
    <field x="4"/>
  </rowFields>
  <rowItems count="20">
    <i>
      <x/>
    </i>
    <i r="1">
      <x v="2"/>
    </i>
    <i r="2">
      <x/>
    </i>
    <i r="2">
      <x v="1"/>
    </i>
    <i r="1">
      <x v="3"/>
    </i>
    <i r="2">
      <x/>
    </i>
    <i r="2">
      <x v="1"/>
    </i>
    <i r="1">
      <x v="4"/>
    </i>
    <i r="2">
      <x/>
    </i>
    <i r="2">
      <x v="1"/>
    </i>
    <i r="1">
      <x v="5"/>
    </i>
    <i r="2">
      <x/>
    </i>
    <i r="2">
      <x v="1"/>
    </i>
    <i r="1">
      <x v="6"/>
    </i>
    <i r="2">
      <x/>
    </i>
    <i r="2">
      <x v="1"/>
    </i>
    <i r="1">
      <x v="13"/>
    </i>
    <i r="2">
      <x/>
    </i>
    <i r="2">
      <x v="1"/>
    </i>
    <i t="grand">
      <x/>
    </i>
  </rowItems>
  <colItems count="1">
    <i/>
  </colItems>
  <dataFields count="1">
    <dataField name="Suma de 2026" fld="9" baseField="0" baseItem="0" numFmtId="166"/>
  </dataFields>
  <formats count="2">
    <format dxfId="40">
      <pivotArea outline="0" collapsedLevelsAreSubtotals="1" fieldPosition="0"/>
    </format>
    <format dxfId="3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98D25A-A613-4FE5-8A13-78E671D0ABF3}" name="Tabla1" displayName="Tabla1" ref="B5:K810" totalsRowShown="0" headerRowDxfId="83" dataDxfId="82" tableBorderDxfId="81">
  <autoFilter ref="B5:K810" xr:uid="{F498D25A-A613-4FE5-8A13-78E671D0ABF3}"/>
  <tableColumns count="10">
    <tableColumn id="1" xr3:uid="{9F89A06A-7D98-4B36-BAEB-04CA3F2E7B5B}" name="NIVEL" dataDxfId="80"/>
    <tableColumn id="2" xr3:uid="{12FE6F61-97E6-4D2E-8CE2-EEF17C8C13D7}" name="ORGANO EJECUTOR" dataDxfId="79"/>
    <tableColumn id="10" xr3:uid="{764515AC-B041-44B9-AE3E-B1CD6F7101F4}" name="SUBCUENTA" dataDxfId="78"/>
    <tableColumn id="3" xr3:uid="{C2411E54-74D2-474B-A306-063BF010E50E}" name="INGRESO AGREGADO" dataDxfId="77"/>
    <tableColumn id="4" xr3:uid="{7B715C51-A2FE-46F3-866F-4FBCDAE7CE3D}" name="CLASE INGRESO" dataDxfId="76"/>
    <tableColumn id="5" xr3:uid="{CD5957E4-76EF-4527-842A-FC3D8927631E}" name="TIPO INGRESO" dataDxfId="75"/>
    <tableColumn id="6" xr3:uid="{A6275A13-FC3C-4CA5-BFCE-521CFEF08A1A}" name="CODIGO PPTAL" dataDxfId="74"/>
    <tableColumn id="7" xr3:uid="{B6F7D41B-C39A-49A0-9792-B6E1E176279E}" name="FUENTE" dataDxfId="73"/>
    <tableColumn id="8" xr3:uid="{72D0D5C1-9DA2-4327-A1AB-3246AF3FFA92}" name="CONCEPTO DEL INGRESO" dataDxfId="72"/>
    <tableColumn id="9" xr3:uid="{0EC1AE4F-CA05-4035-917A-23C44A789062}" name="2026" dataDxfId="71" dataCellStyle="Millares 3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5A1339-639F-4C4B-8415-D66C75C46486}" name="Tabla13" displayName="Tabla13" ref="B5:M823" totalsRowShown="0" headerRowDxfId="70" dataDxfId="69" tableBorderDxfId="68">
  <autoFilter ref="B5:M823" xr:uid="{F498D25A-A613-4FE5-8A13-78E671D0ABF3}"/>
  <tableColumns count="12">
    <tableColumn id="1" xr3:uid="{D70B8243-5595-4D42-B63B-B0A69FCD3FFB}" name="NIVEL" dataDxfId="67"/>
    <tableColumn id="2" xr3:uid="{9BCD2DF7-174B-4397-99E5-885DD08A20A2}" name="ORGANO EJECUTOR" dataDxfId="66"/>
    <tableColumn id="10" xr3:uid="{32AC1047-67ED-4C42-A299-0755D2C5FD15}" name="SUBCUENTA" dataDxfId="65"/>
    <tableColumn id="3" xr3:uid="{38346652-4EA0-474D-B05E-B533D37CF721}" name="INGRESO AGREGADO" dataDxfId="64"/>
    <tableColumn id="4" xr3:uid="{176A18CB-5694-449D-BCE3-589064552B28}" name="CLASE INGRESO" dataDxfId="63"/>
    <tableColumn id="5" xr3:uid="{5F04512F-AFB9-48C2-A1F7-B50D74FA5126}" name="TIPO INGRESO" dataDxfId="62"/>
    <tableColumn id="6" xr3:uid="{56826454-8AC5-49DB-8630-8DD3C5D2DF69}" name="CODIGO PPTAL" dataDxfId="61"/>
    <tableColumn id="7" xr3:uid="{D8D1A99A-3DC0-45A7-AD44-0D43143559A6}" name="FUENTE" dataDxfId="60"/>
    <tableColumn id="8" xr3:uid="{A9B380DC-8190-42A6-8CB7-24BB81F52304}" name="CONCEPTO DEL INGRESO" dataDxfId="59"/>
    <tableColumn id="9" xr3:uid="{9F62E83D-C8A9-4450-9826-45385DC73DCC}" name="PF INICIAL" dataDxfId="58" dataCellStyle="Millares 3"/>
    <tableColumn id="11" xr3:uid="{C5864499-596A-43DF-A8A3-D29F4AF3FBFF}" name="AJUSTE 1" dataDxfId="57"/>
    <tableColumn id="12" xr3:uid="{11B95083-FEF4-49FD-9CE6-3B04FBD605C0}" name="PF TOTAL" dataDxfId="56" dataCellStyle="Millares 3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D8A5FE-0894-4582-82F2-ACAA16B19F7E}" name="Tabla134" displayName="Tabla134" ref="B5:M823" totalsRowShown="0" headerRowDxfId="55" dataDxfId="54" tableBorderDxfId="53">
  <autoFilter ref="B5:M823" xr:uid="{F498D25A-A613-4FE5-8A13-78E671D0ABF3}"/>
  <tableColumns count="12">
    <tableColumn id="1" xr3:uid="{0ADDF79D-3648-4A81-BC1C-A81B81FF2D78}" name="NIVEL" dataDxfId="52"/>
    <tableColumn id="2" xr3:uid="{55D13132-CBD2-4699-B570-A25E7075D903}" name="ORGANO EJECUTOR" dataDxfId="51"/>
    <tableColumn id="10" xr3:uid="{2B774FB8-74A1-476E-8A4F-E963531D2A52}" name="SUBCUENTA" dataDxfId="50"/>
    <tableColumn id="3" xr3:uid="{0866CF44-D645-4C1C-BB2F-7D7B830A46EC}" name="INGRESO AGREGADO" dataDxfId="49"/>
    <tableColumn id="4" xr3:uid="{DE1944B6-C83B-4ED4-8F1E-301ABCF6B346}" name="CLASE INGRESO" dataDxfId="48"/>
    <tableColumn id="5" xr3:uid="{FDE8080D-5D28-42BB-B028-44DCF397791F}" name="TIPO INGRESO" dataDxfId="47"/>
    <tableColumn id="6" xr3:uid="{39277B73-3976-4F58-9356-1829235289C9}" name="CODIGO PPTAL" dataDxfId="46"/>
    <tableColumn id="7" xr3:uid="{3B3E6F85-6DCF-4F32-8728-5024C1FB5AD6}" name="FUENTE" dataDxfId="45"/>
    <tableColumn id="8" xr3:uid="{B259C688-41E0-49C5-9D33-83D258C6A4F5}" name="CONCEPTO DEL INGRESO" dataDxfId="44"/>
    <tableColumn id="9" xr3:uid="{6530A8F6-42FE-4891-A2D6-98EBC0838F6B}" name="PF AJUSTE 1" dataDxfId="43" dataCellStyle="Millares 3"/>
    <tableColumn id="11" xr3:uid="{86A8AF35-628C-409D-86AE-8A79D272DE30}" name="AJUSTE 2" dataDxfId="42"/>
    <tableColumn id="12" xr3:uid="{F4CFD4C8-CE80-4CE0-BA2A-C538B43309B3}" name="PF TOTAL" dataDxfId="41" dataCellStyle="Millares 3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814"/>
  <sheetViews>
    <sheetView showGridLines="0" tabSelected="1" topLeftCell="F1" zoomScale="85" zoomScaleNormal="85" workbookViewId="0">
      <pane ySplit="1" topLeftCell="A412" activePane="bottomLeft" state="frozen"/>
      <selection activeCell="B1" sqref="B1"/>
      <selection pane="bottomLeft" activeCell="K11" sqref="K11"/>
    </sheetView>
  </sheetViews>
  <sheetFormatPr baseColWidth="10" defaultColWidth="11.42578125" defaultRowHeight="14.25" x14ac:dyDescent="0.2"/>
  <cols>
    <col min="1" max="1" width="11.42578125" style="8"/>
    <col min="2" max="2" width="16.28515625" style="8" customWidth="1"/>
    <col min="3" max="3" width="34.140625" style="8" customWidth="1"/>
    <col min="4" max="4" width="31.7109375" style="8" customWidth="1"/>
    <col min="5" max="5" width="23" style="8" customWidth="1"/>
    <col min="6" max="6" width="18.7109375" style="8" customWidth="1"/>
    <col min="7" max="7" width="20.42578125" style="8" customWidth="1"/>
    <col min="8" max="8" width="45.140625" style="52" customWidth="1"/>
    <col min="9" max="9" width="10.42578125" style="129" customWidth="1"/>
    <col min="10" max="10" width="76.7109375" style="130" customWidth="1"/>
    <col min="11" max="11" width="23.28515625" style="132" customWidth="1"/>
    <col min="12" max="16384" width="11.42578125" style="8"/>
  </cols>
  <sheetData>
    <row r="1" spans="2:11" s="3" customFormat="1" ht="15.6" customHeight="1" x14ac:dyDescent="0.25">
      <c r="H1" s="199"/>
      <c r="I1" s="199"/>
      <c r="J1" s="199"/>
      <c r="K1" s="199"/>
    </row>
    <row r="2" spans="2:11" s="3" customFormat="1" ht="15.6" customHeight="1" thickBot="1" x14ac:dyDescent="0.3">
      <c r="H2" s="5"/>
      <c r="I2" s="6"/>
      <c r="J2" s="4"/>
      <c r="K2" s="7"/>
    </row>
    <row r="3" spans="2:11" ht="15.75" thickBot="1" x14ac:dyDescent="0.3">
      <c r="H3" s="9" t="s">
        <v>1059</v>
      </c>
      <c r="I3" s="10"/>
      <c r="J3" s="11"/>
      <c r="K3" s="12">
        <f>+K204+K252+K538+K556+K582+K639</f>
        <v>1268751167162</v>
      </c>
    </row>
    <row r="4" spans="2:11" s="13" customFormat="1" ht="21.75" customHeight="1" x14ac:dyDescent="0.25">
      <c r="H4" s="14" t="s">
        <v>773</v>
      </c>
      <c r="I4" s="6"/>
      <c r="J4" s="15"/>
      <c r="K4" s="15"/>
    </row>
    <row r="5" spans="2:11" s="138" customFormat="1" ht="45.6" customHeight="1" x14ac:dyDescent="0.2">
      <c r="B5" s="134" t="s">
        <v>995</v>
      </c>
      <c r="C5" s="135" t="s">
        <v>996</v>
      </c>
      <c r="D5" s="135" t="s">
        <v>1045</v>
      </c>
      <c r="E5" s="135" t="s">
        <v>997</v>
      </c>
      <c r="F5" s="135" t="s">
        <v>998</v>
      </c>
      <c r="G5" s="134" t="s">
        <v>999</v>
      </c>
      <c r="H5" s="134" t="s">
        <v>1000</v>
      </c>
      <c r="I5" s="136" t="s">
        <v>994</v>
      </c>
      <c r="J5" s="136" t="s">
        <v>774</v>
      </c>
      <c r="K5" s="137" t="s">
        <v>1040</v>
      </c>
    </row>
    <row r="6" spans="2:11" ht="15" x14ac:dyDescent="0.25">
      <c r="B6" s="16"/>
      <c r="C6" s="16"/>
      <c r="D6" s="16"/>
      <c r="E6" s="16"/>
      <c r="F6" s="16"/>
      <c r="G6" s="16"/>
      <c r="H6" s="17" t="s">
        <v>0</v>
      </c>
      <c r="I6" s="18"/>
      <c r="J6" s="19" t="s">
        <v>1</v>
      </c>
      <c r="K6" s="20">
        <v>438913691636</v>
      </c>
    </row>
    <row r="7" spans="2:11" ht="15" x14ac:dyDescent="0.25">
      <c r="B7" s="16"/>
      <c r="C7" s="16"/>
      <c r="D7" s="16"/>
      <c r="E7" s="16"/>
      <c r="F7" s="16"/>
      <c r="G7" s="16"/>
      <c r="H7" s="17" t="s">
        <v>2</v>
      </c>
      <c r="I7" s="18"/>
      <c r="J7" s="19" t="s">
        <v>3</v>
      </c>
      <c r="K7" s="20">
        <v>436463691636</v>
      </c>
    </row>
    <row r="8" spans="2:11" ht="15" x14ac:dyDescent="0.25">
      <c r="B8" s="16"/>
      <c r="C8" s="16"/>
      <c r="D8" s="16"/>
      <c r="E8" s="16"/>
      <c r="F8" s="16"/>
      <c r="G8" s="16"/>
      <c r="H8" s="17" t="s">
        <v>4</v>
      </c>
      <c r="I8" s="18"/>
      <c r="J8" s="19" t="s">
        <v>5</v>
      </c>
      <c r="K8" s="20">
        <v>377152180843</v>
      </c>
    </row>
    <row r="9" spans="2:11" ht="15" x14ac:dyDescent="0.25">
      <c r="B9" s="16"/>
      <c r="C9" s="16"/>
      <c r="D9" s="16"/>
      <c r="E9" s="16"/>
      <c r="F9" s="16"/>
      <c r="G9" s="16"/>
      <c r="H9" s="17" t="s">
        <v>6</v>
      </c>
      <c r="I9" s="18"/>
      <c r="J9" s="19" t="s">
        <v>7</v>
      </c>
      <c r="K9" s="20">
        <v>73274635571</v>
      </c>
    </row>
    <row r="10" spans="2:11" x14ac:dyDescent="0.2">
      <c r="B10" s="16"/>
      <c r="C10" s="16"/>
      <c r="D10" s="16"/>
      <c r="E10" s="16"/>
      <c r="F10" s="16"/>
      <c r="G10" s="16"/>
      <c r="H10" s="21" t="s">
        <v>8</v>
      </c>
      <c r="I10" s="18"/>
      <c r="J10" s="22" t="s">
        <v>9</v>
      </c>
      <c r="K10" s="23">
        <v>73274635571</v>
      </c>
    </row>
    <row r="11" spans="2:11" x14ac:dyDescent="0.2">
      <c r="B11" s="16" t="s">
        <v>1002</v>
      </c>
      <c r="C11" s="16" t="s">
        <v>1004</v>
      </c>
      <c r="D11" s="46" t="s">
        <v>1051</v>
      </c>
      <c r="E11" s="16" t="s">
        <v>1015</v>
      </c>
      <c r="F11" s="16" t="s">
        <v>1022</v>
      </c>
      <c r="G11" s="16" t="s">
        <v>1024</v>
      </c>
      <c r="H11" s="21" t="s">
        <v>11</v>
      </c>
      <c r="I11" s="18" t="str">
        <f>RIGHT(H11,4)</f>
        <v>- 14</v>
      </c>
      <c r="J11" s="22" t="s">
        <v>9</v>
      </c>
      <c r="K11" s="23">
        <v>14654927114</v>
      </c>
    </row>
    <row r="12" spans="2:11" x14ac:dyDescent="0.2">
      <c r="B12" s="16" t="s">
        <v>1002</v>
      </c>
      <c r="C12" s="16" t="s">
        <v>1004</v>
      </c>
      <c r="D12" s="46" t="s">
        <v>1051</v>
      </c>
      <c r="E12" s="16" t="s">
        <v>1013</v>
      </c>
      <c r="F12" s="16" t="s">
        <v>1022</v>
      </c>
      <c r="G12" s="16" t="s">
        <v>1024</v>
      </c>
      <c r="H12" s="21" t="s">
        <v>12</v>
      </c>
      <c r="I12" s="18" t="str">
        <f>RIGHT(H12,4)</f>
        <v>- 20</v>
      </c>
      <c r="J12" s="22" t="s">
        <v>9</v>
      </c>
      <c r="K12" s="23">
        <v>58619708457</v>
      </c>
    </row>
    <row r="13" spans="2:11" ht="15" x14ac:dyDescent="0.25">
      <c r="B13" s="16"/>
      <c r="C13" s="16"/>
      <c r="D13" s="16"/>
      <c r="E13" s="16"/>
      <c r="F13" s="16"/>
      <c r="G13" s="16"/>
      <c r="H13" s="17" t="s">
        <v>13</v>
      </c>
      <c r="I13" s="18"/>
      <c r="J13" s="19" t="s">
        <v>14</v>
      </c>
      <c r="K13" s="20">
        <v>303877545272</v>
      </c>
    </row>
    <row r="14" spans="2:11" x14ac:dyDescent="0.2">
      <c r="B14" s="16"/>
      <c r="C14" s="16"/>
      <c r="D14" s="16"/>
      <c r="E14" s="16"/>
      <c r="F14" s="16"/>
      <c r="G14" s="16"/>
      <c r="H14" s="21" t="s">
        <v>15</v>
      </c>
      <c r="I14" s="18"/>
      <c r="J14" s="22" t="s">
        <v>16</v>
      </c>
      <c r="K14" s="23">
        <v>31564734950</v>
      </c>
    </row>
    <row r="15" spans="2:11" x14ac:dyDescent="0.2">
      <c r="B15" s="16"/>
      <c r="C15" s="16"/>
      <c r="D15" s="16"/>
      <c r="E15" s="16"/>
      <c r="F15" s="16"/>
      <c r="G15" s="16"/>
      <c r="H15" s="21" t="s">
        <v>17</v>
      </c>
      <c r="I15" s="18"/>
      <c r="J15" s="22" t="s">
        <v>18</v>
      </c>
      <c r="K15" s="23">
        <v>1578236747</v>
      </c>
    </row>
    <row r="16" spans="2:11" x14ac:dyDescent="0.2">
      <c r="B16" s="16" t="s">
        <v>1002</v>
      </c>
      <c r="C16" s="16" t="s">
        <v>1004</v>
      </c>
      <c r="D16" s="46" t="s">
        <v>1051</v>
      </c>
      <c r="E16" s="16" t="s">
        <v>1015</v>
      </c>
      <c r="F16" s="16" t="s">
        <v>1022</v>
      </c>
      <c r="G16" s="16" t="s">
        <v>1024</v>
      </c>
      <c r="H16" s="21" t="s">
        <v>19</v>
      </c>
      <c r="I16" s="18" t="str">
        <f t="shared" ref="I16:I22" si="0">RIGHT(H16,4)</f>
        <v>- 01</v>
      </c>
      <c r="J16" s="22" t="s">
        <v>18</v>
      </c>
      <c r="K16" s="23">
        <v>350719277</v>
      </c>
    </row>
    <row r="17" spans="2:11" x14ac:dyDescent="0.2">
      <c r="B17" s="16" t="s">
        <v>1002</v>
      </c>
      <c r="C17" s="16" t="s">
        <v>1004</v>
      </c>
      <c r="D17" s="46" t="s">
        <v>1051</v>
      </c>
      <c r="E17" s="16" t="s">
        <v>1013</v>
      </c>
      <c r="F17" s="16" t="s">
        <v>1022</v>
      </c>
      <c r="G17" s="16" t="s">
        <v>1024</v>
      </c>
      <c r="H17" s="21" t="s">
        <v>20</v>
      </c>
      <c r="I17" s="18" t="str">
        <f t="shared" si="0"/>
        <v>- 20</v>
      </c>
      <c r="J17" s="22" t="s">
        <v>18</v>
      </c>
      <c r="K17" s="23">
        <v>1227517470</v>
      </c>
    </row>
    <row r="18" spans="2:11" x14ac:dyDescent="0.2">
      <c r="B18" s="16"/>
      <c r="C18" s="16"/>
      <c r="D18" s="16"/>
      <c r="E18" s="16"/>
      <c r="F18" s="16"/>
      <c r="G18" s="16"/>
      <c r="H18" s="21" t="s">
        <v>21</v>
      </c>
      <c r="I18" s="18"/>
      <c r="J18" s="22" t="s">
        <v>22</v>
      </c>
      <c r="K18" s="23">
        <v>29986498203</v>
      </c>
    </row>
    <row r="19" spans="2:11" x14ac:dyDescent="0.2">
      <c r="B19" s="16" t="s">
        <v>1002</v>
      </c>
      <c r="C19" s="16" t="s">
        <v>1004</v>
      </c>
      <c r="D19" s="46" t="s">
        <v>1051</v>
      </c>
      <c r="E19" s="16" t="s">
        <v>1015</v>
      </c>
      <c r="F19" s="16" t="s">
        <v>1022</v>
      </c>
      <c r="G19" s="16" t="s">
        <v>1024</v>
      </c>
      <c r="H19" s="21" t="s">
        <v>23</v>
      </c>
      <c r="I19" s="18" t="str">
        <f t="shared" si="0"/>
        <v>- 01</v>
      </c>
      <c r="J19" s="22" t="s">
        <v>22</v>
      </c>
      <c r="K19" s="23">
        <v>6663666267</v>
      </c>
    </row>
    <row r="20" spans="2:11" x14ac:dyDescent="0.2">
      <c r="B20" s="16" t="s">
        <v>1002</v>
      </c>
      <c r="C20" s="16" t="s">
        <v>1004</v>
      </c>
      <c r="D20" s="46" t="s">
        <v>1051</v>
      </c>
      <c r="E20" s="16" t="s">
        <v>1013</v>
      </c>
      <c r="F20" s="16" t="s">
        <v>1022</v>
      </c>
      <c r="G20" s="16" t="s">
        <v>1024</v>
      </c>
      <c r="H20" s="21" t="s">
        <v>24</v>
      </c>
      <c r="I20" s="18" t="str">
        <f t="shared" si="0"/>
        <v>- 20</v>
      </c>
      <c r="J20" s="22" t="s">
        <v>22</v>
      </c>
      <c r="K20" s="23">
        <v>23322831936</v>
      </c>
    </row>
    <row r="21" spans="2:11" x14ac:dyDescent="0.2">
      <c r="B21" s="16"/>
      <c r="C21" s="16"/>
      <c r="D21" s="16"/>
      <c r="E21" s="16"/>
      <c r="F21" s="16"/>
      <c r="G21" s="16"/>
      <c r="H21" s="21" t="s">
        <v>25</v>
      </c>
      <c r="I21" s="18"/>
      <c r="J21" s="22" t="s">
        <v>26</v>
      </c>
      <c r="K21" s="23">
        <v>5500000000</v>
      </c>
    </row>
    <row r="22" spans="2:11" x14ac:dyDescent="0.2">
      <c r="B22" s="16" t="s">
        <v>1002</v>
      </c>
      <c r="C22" s="16" t="s">
        <v>1004</v>
      </c>
      <c r="D22" s="46" t="s">
        <v>1051</v>
      </c>
      <c r="E22" s="16" t="s">
        <v>1013</v>
      </c>
      <c r="F22" s="16" t="s">
        <v>1022</v>
      </c>
      <c r="G22" s="16" t="s">
        <v>1024</v>
      </c>
      <c r="H22" s="21" t="s">
        <v>27</v>
      </c>
      <c r="I22" s="18" t="str">
        <f t="shared" si="0"/>
        <v>- 20</v>
      </c>
      <c r="J22" s="22" t="s">
        <v>26</v>
      </c>
      <c r="K22" s="23">
        <v>5500000000</v>
      </c>
    </row>
    <row r="23" spans="2:11" x14ac:dyDescent="0.2">
      <c r="B23" s="16"/>
      <c r="C23" s="16"/>
      <c r="D23" s="16"/>
      <c r="E23" s="16"/>
      <c r="F23" s="16"/>
      <c r="G23" s="16"/>
      <c r="H23" s="21" t="s">
        <v>28</v>
      </c>
      <c r="I23" s="18"/>
      <c r="J23" s="22" t="s">
        <v>29</v>
      </c>
      <c r="K23" s="23">
        <v>4048770093</v>
      </c>
    </row>
    <row r="24" spans="2:11" x14ac:dyDescent="0.2">
      <c r="B24" s="16"/>
      <c r="C24" s="16"/>
      <c r="D24" s="16"/>
      <c r="E24" s="16"/>
      <c r="F24" s="16"/>
      <c r="G24" s="16"/>
      <c r="H24" s="21" t="s">
        <v>30</v>
      </c>
      <c r="I24" s="18"/>
      <c r="J24" s="22" t="s">
        <v>31</v>
      </c>
      <c r="K24" s="23">
        <v>4048770093</v>
      </c>
    </row>
    <row r="25" spans="2:11" x14ac:dyDescent="0.2">
      <c r="B25" s="16"/>
      <c r="C25" s="16"/>
      <c r="D25" s="16"/>
      <c r="E25" s="16"/>
      <c r="F25" s="16"/>
      <c r="G25" s="16"/>
      <c r="H25" s="21" t="s">
        <v>32</v>
      </c>
      <c r="I25" s="18"/>
      <c r="J25" s="22" t="s">
        <v>33</v>
      </c>
      <c r="K25" s="23">
        <v>1713796671</v>
      </c>
    </row>
    <row r="26" spans="2:11" ht="28.5" x14ac:dyDescent="0.2">
      <c r="B26" s="16" t="s">
        <v>1002</v>
      </c>
      <c r="C26" s="16" t="s">
        <v>1004</v>
      </c>
      <c r="D26" s="46" t="s">
        <v>1051</v>
      </c>
      <c r="E26" s="16" t="s">
        <v>1013</v>
      </c>
      <c r="F26" s="16" t="s">
        <v>1022</v>
      </c>
      <c r="G26" s="16" t="s">
        <v>1024</v>
      </c>
      <c r="H26" s="21" t="s">
        <v>34</v>
      </c>
      <c r="I26" s="18" t="str">
        <f t="shared" ref="I26:I34" si="1">RIGHT(H26,4)</f>
        <v>- 20</v>
      </c>
      <c r="J26" s="22" t="s">
        <v>35</v>
      </c>
      <c r="K26" s="23">
        <v>697904095</v>
      </c>
    </row>
    <row r="27" spans="2:11" ht="28.5" x14ac:dyDescent="0.2">
      <c r="B27" s="16" t="s">
        <v>1002</v>
      </c>
      <c r="C27" s="16" t="s">
        <v>1004</v>
      </c>
      <c r="D27" s="46" t="s">
        <v>1051</v>
      </c>
      <c r="E27" s="16" t="s">
        <v>1015</v>
      </c>
      <c r="F27" s="16" t="s">
        <v>1022</v>
      </c>
      <c r="G27" s="16" t="s">
        <v>1024</v>
      </c>
      <c r="H27" s="21" t="s">
        <v>36</v>
      </c>
      <c r="I27" s="18" t="str">
        <f t="shared" si="1"/>
        <v>- 60</v>
      </c>
      <c r="J27" s="22" t="s">
        <v>35</v>
      </c>
      <c r="K27" s="23">
        <v>34895204</v>
      </c>
    </row>
    <row r="28" spans="2:11" ht="28.5" x14ac:dyDescent="0.2">
      <c r="B28" s="16" t="s">
        <v>1002</v>
      </c>
      <c r="C28" s="16" t="s">
        <v>1004</v>
      </c>
      <c r="D28" s="46" t="s">
        <v>1051</v>
      </c>
      <c r="E28" s="16" t="s">
        <v>1013</v>
      </c>
      <c r="F28" s="16" t="s">
        <v>1022</v>
      </c>
      <c r="G28" s="16" t="s">
        <v>1024</v>
      </c>
      <c r="H28" s="21" t="s">
        <v>37</v>
      </c>
      <c r="I28" s="18" t="str">
        <f t="shared" si="1"/>
        <v>- 20</v>
      </c>
      <c r="J28" s="22" t="s">
        <v>38</v>
      </c>
      <c r="K28" s="23">
        <v>934283212</v>
      </c>
    </row>
    <row r="29" spans="2:11" ht="28.5" x14ac:dyDescent="0.2">
      <c r="B29" s="16" t="s">
        <v>1002</v>
      </c>
      <c r="C29" s="16" t="s">
        <v>1004</v>
      </c>
      <c r="D29" s="46" t="s">
        <v>1051</v>
      </c>
      <c r="E29" s="16" t="s">
        <v>1015</v>
      </c>
      <c r="F29" s="16" t="s">
        <v>1022</v>
      </c>
      <c r="G29" s="16" t="s">
        <v>1024</v>
      </c>
      <c r="H29" s="21" t="s">
        <v>39</v>
      </c>
      <c r="I29" s="18" t="str">
        <f t="shared" si="1"/>
        <v>- 60</v>
      </c>
      <c r="J29" s="22" t="s">
        <v>38</v>
      </c>
      <c r="K29" s="23">
        <v>46714160</v>
      </c>
    </row>
    <row r="30" spans="2:11" ht="28.5" x14ac:dyDescent="0.2">
      <c r="B30" s="16"/>
      <c r="C30" s="16"/>
      <c r="D30" s="16"/>
      <c r="E30" s="16"/>
      <c r="F30" s="16"/>
      <c r="G30" s="16"/>
      <c r="H30" s="21" t="s">
        <v>40</v>
      </c>
      <c r="I30" s="18"/>
      <c r="J30" s="22" t="s">
        <v>41</v>
      </c>
      <c r="K30" s="23">
        <v>2334973422</v>
      </c>
    </row>
    <row r="31" spans="2:11" ht="28.5" x14ac:dyDescent="0.2">
      <c r="B31" s="16" t="s">
        <v>1002</v>
      </c>
      <c r="C31" s="16" t="s">
        <v>1004</v>
      </c>
      <c r="D31" s="46" t="s">
        <v>1051</v>
      </c>
      <c r="E31" s="16" t="s">
        <v>1013</v>
      </c>
      <c r="F31" s="16" t="s">
        <v>1022</v>
      </c>
      <c r="G31" s="16" t="s">
        <v>1024</v>
      </c>
      <c r="H31" s="21" t="s">
        <v>42</v>
      </c>
      <c r="I31" s="18" t="str">
        <f t="shared" si="1"/>
        <v>- 20</v>
      </c>
      <c r="J31" s="22" t="s">
        <v>43</v>
      </c>
      <c r="K31" s="23">
        <v>816873677</v>
      </c>
    </row>
    <row r="32" spans="2:11" ht="28.5" x14ac:dyDescent="0.2">
      <c r="B32" s="16" t="s">
        <v>1002</v>
      </c>
      <c r="C32" s="16" t="s">
        <v>1004</v>
      </c>
      <c r="D32" s="46" t="s">
        <v>1051</v>
      </c>
      <c r="E32" s="16" t="s">
        <v>1015</v>
      </c>
      <c r="F32" s="16" t="s">
        <v>1022</v>
      </c>
      <c r="G32" s="16" t="s">
        <v>1024</v>
      </c>
      <c r="H32" s="21" t="s">
        <v>44</v>
      </c>
      <c r="I32" s="18" t="str">
        <f t="shared" si="1"/>
        <v>- 60</v>
      </c>
      <c r="J32" s="22" t="s">
        <v>43</v>
      </c>
      <c r="K32" s="23">
        <v>40843683</v>
      </c>
    </row>
    <row r="33" spans="2:11" ht="28.5" x14ac:dyDescent="0.2">
      <c r="B33" s="16" t="s">
        <v>1002</v>
      </c>
      <c r="C33" s="16" t="s">
        <v>1004</v>
      </c>
      <c r="D33" s="46" t="s">
        <v>1051</v>
      </c>
      <c r="E33" s="16" t="s">
        <v>1013</v>
      </c>
      <c r="F33" s="16" t="s">
        <v>1022</v>
      </c>
      <c r="G33" s="16" t="s">
        <v>1024</v>
      </c>
      <c r="H33" s="21" t="s">
        <v>45</v>
      </c>
      <c r="I33" s="18" t="str">
        <f t="shared" si="1"/>
        <v>- 20</v>
      </c>
      <c r="J33" s="22" t="s">
        <v>46</v>
      </c>
      <c r="K33" s="23">
        <v>1406910536</v>
      </c>
    </row>
    <row r="34" spans="2:11" ht="28.5" x14ac:dyDescent="0.2">
      <c r="B34" s="16" t="s">
        <v>1002</v>
      </c>
      <c r="C34" s="16" t="s">
        <v>1004</v>
      </c>
      <c r="D34" s="46" t="s">
        <v>1051</v>
      </c>
      <c r="E34" s="16" t="s">
        <v>1015</v>
      </c>
      <c r="F34" s="16" t="s">
        <v>1022</v>
      </c>
      <c r="G34" s="16" t="s">
        <v>1024</v>
      </c>
      <c r="H34" s="21" t="s">
        <v>47</v>
      </c>
      <c r="I34" s="18" t="str">
        <f t="shared" si="1"/>
        <v>- 60</v>
      </c>
      <c r="J34" s="22" t="s">
        <v>46</v>
      </c>
      <c r="K34" s="23">
        <v>70345526</v>
      </c>
    </row>
    <row r="35" spans="2:11" x14ac:dyDescent="0.2">
      <c r="B35" s="16"/>
      <c r="C35" s="16"/>
      <c r="D35" s="16"/>
      <c r="E35" s="16"/>
      <c r="F35" s="16"/>
      <c r="G35" s="16"/>
      <c r="H35" s="21" t="s">
        <v>48</v>
      </c>
      <c r="I35" s="18"/>
      <c r="J35" s="22" t="s">
        <v>49</v>
      </c>
      <c r="K35" s="23">
        <v>93466493227</v>
      </c>
    </row>
    <row r="36" spans="2:11" x14ac:dyDescent="0.2">
      <c r="B36" s="16"/>
      <c r="C36" s="16"/>
      <c r="D36" s="16"/>
      <c r="E36" s="16"/>
      <c r="F36" s="16"/>
      <c r="G36" s="16"/>
      <c r="H36" s="21" t="s">
        <v>50</v>
      </c>
      <c r="I36" s="18"/>
      <c r="J36" s="22" t="s">
        <v>51</v>
      </c>
      <c r="K36" s="23">
        <v>93383153227</v>
      </c>
    </row>
    <row r="37" spans="2:11" x14ac:dyDescent="0.2">
      <c r="B37" s="16" t="s">
        <v>1002</v>
      </c>
      <c r="C37" s="16" t="s">
        <v>1004</v>
      </c>
      <c r="D37" s="46" t="s">
        <v>1051</v>
      </c>
      <c r="E37" s="16" t="s">
        <v>1013</v>
      </c>
      <c r="F37" s="16" t="s">
        <v>1022</v>
      </c>
      <c r="G37" s="16" t="s">
        <v>1024</v>
      </c>
      <c r="H37" s="21" t="s">
        <v>52</v>
      </c>
      <c r="I37" s="18" t="str">
        <f>RIGHT(H37,4)</f>
        <v>- 20</v>
      </c>
      <c r="J37" s="22" t="s">
        <v>51</v>
      </c>
      <c r="K37" s="23">
        <v>93383153227</v>
      </c>
    </row>
    <row r="38" spans="2:11" x14ac:dyDescent="0.2">
      <c r="B38" s="16"/>
      <c r="C38" s="16"/>
      <c r="D38" s="16"/>
      <c r="E38" s="16"/>
      <c r="F38" s="16"/>
      <c r="G38" s="16"/>
      <c r="H38" s="21" t="s">
        <v>53</v>
      </c>
      <c r="I38" s="18"/>
      <c r="J38" s="22" t="s">
        <v>54</v>
      </c>
      <c r="K38" s="23">
        <v>83340000</v>
      </c>
    </row>
    <row r="39" spans="2:11" x14ac:dyDescent="0.2">
      <c r="B39" s="16" t="s">
        <v>1002</v>
      </c>
      <c r="C39" s="16" t="s">
        <v>1004</v>
      </c>
      <c r="D39" s="46" t="s">
        <v>1051</v>
      </c>
      <c r="E39" s="16" t="s">
        <v>1013</v>
      </c>
      <c r="F39" s="16" t="s">
        <v>1022</v>
      </c>
      <c r="G39" s="16" t="s">
        <v>1024</v>
      </c>
      <c r="H39" s="21" t="s">
        <v>55</v>
      </c>
      <c r="I39" s="18" t="str">
        <f>RIGHT(H39,4)</f>
        <v>- 20</v>
      </c>
      <c r="J39" s="22" t="s">
        <v>54</v>
      </c>
      <c r="K39" s="23">
        <v>83340000</v>
      </c>
    </row>
    <row r="40" spans="2:11" x14ac:dyDescent="0.2">
      <c r="B40" s="16"/>
      <c r="C40" s="16"/>
      <c r="D40" s="16"/>
      <c r="E40" s="16"/>
      <c r="F40" s="16"/>
      <c r="G40" s="16"/>
      <c r="H40" s="21" t="s">
        <v>56</v>
      </c>
      <c r="I40" s="18"/>
      <c r="J40" s="22" t="s">
        <v>57</v>
      </c>
      <c r="K40" s="23">
        <v>14568136284</v>
      </c>
    </row>
    <row r="41" spans="2:11" x14ac:dyDescent="0.2">
      <c r="B41" s="16"/>
      <c r="C41" s="16"/>
      <c r="D41" s="16"/>
      <c r="E41" s="16"/>
      <c r="F41" s="16"/>
      <c r="G41" s="16"/>
      <c r="H41" s="21" t="s">
        <v>58</v>
      </c>
      <c r="I41" s="18"/>
      <c r="J41" s="22" t="s">
        <v>59</v>
      </c>
      <c r="K41" s="23">
        <v>14568136284</v>
      </c>
    </row>
    <row r="42" spans="2:11" ht="28.5" x14ac:dyDescent="0.2">
      <c r="B42" s="16"/>
      <c r="C42" s="16"/>
      <c r="D42" s="16"/>
      <c r="E42" s="16"/>
      <c r="F42" s="16"/>
      <c r="G42" s="16"/>
      <c r="H42" s="21" t="s">
        <v>60</v>
      </c>
      <c r="I42" s="18"/>
      <c r="J42" s="22" t="s">
        <v>61</v>
      </c>
      <c r="K42" s="23">
        <v>14568136284</v>
      </c>
    </row>
    <row r="43" spans="2:11" ht="28.5" x14ac:dyDescent="0.2">
      <c r="B43" s="16" t="s">
        <v>1002</v>
      </c>
      <c r="C43" s="16" t="s">
        <v>1004</v>
      </c>
      <c r="D43" s="46" t="s">
        <v>1051</v>
      </c>
      <c r="E43" s="16" t="s">
        <v>1013</v>
      </c>
      <c r="F43" s="16" t="s">
        <v>1022</v>
      </c>
      <c r="G43" s="16" t="s">
        <v>1024</v>
      </c>
      <c r="H43" s="21" t="s">
        <v>62</v>
      </c>
      <c r="I43" s="18" t="str">
        <f t="shared" ref="I43:I57" si="2">RIGHT(H43,4)</f>
        <v>- 20</v>
      </c>
      <c r="J43" s="22" t="s">
        <v>61</v>
      </c>
      <c r="K43" s="23">
        <v>12237234479</v>
      </c>
    </row>
    <row r="44" spans="2:11" ht="28.5" x14ac:dyDescent="0.2">
      <c r="B44" s="16" t="s">
        <v>1002</v>
      </c>
      <c r="C44" s="16" t="s">
        <v>1004</v>
      </c>
      <c r="D44" s="46" t="s">
        <v>1051</v>
      </c>
      <c r="E44" s="16" t="s">
        <v>1015</v>
      </c>
      <c r="F44" s="16" t="s">
        <v>1022</v>
      </c>
      <c r="G44" s="16" t="s">
        <v>1024</v>
      </c>
      <c r="H44" s="21" t="s">
        <v>63</v>
      </c>
      <c r="I44" s="18" t="str">
        <f t="shared" si="2"/>
        <v>- 58</v>
      </c>
      <c r="J44" s="22" t="s">
        <v>61</v>
      </c>
      <c r="K44" s="23">
        <v>2330901805</v>
      </c>
    </row>
    <row r="45" spans="2:11" x14ac:dyDescent="0.2">
      <c r="B45" s="16"/>
      <c r="C45" s="16"/>
      <c r="D45" s="16"/>
      <c r="E45" s="16"/>
      <c r="F45" s="16"/>
      <c r="G45" s="16"/>
      <c r="H45" s="21" t="s">
        <v>64</v>
      </c>
      <c r="I45" s="18"/>
      <c r="J45" s="22" t="s">
        <v>65</v>
      </c>
      <c r="K45" s="23">
        <v>23618883451</v>
      </c>
    </row>
    <row r="46" spans="2:11" x14ac:dyDescent="0.2">
      <c r="B46" s="16" t="s">
        <v>1002</v>
      </c>
      <c r="C46" s="16" t="s">
        <v>1004</v>
      </c>
      <c r="D46" s="46" t="s">
        <v>1051</v>
      </c>
      <c r="E46" s="16" t="s">
        <v>1013</v>
      </c>
      <c r="F46" s="16" t="s">
        <v>1022</v>
      </c>
      <c r="G46" s="16" t="s">
        <v>1024</v>
      </c>
      <c r="H46" s="21" t="s">
        <v>66</v>
      </c>
      <c r="I46" s="18" t="str">
        <f t="shared" si="2"/>
        <v>- 20</v>
      </c>
      <c r="J46" s="22" t="s">
        <v>65</v>
      </c>
      <c r="K46" s="23">
        <v>22437939279</v>
      </c>
    </row>
    <row r="47" spans="2:11" x14ac:dyDescent="0.2">
      <c r="B47" s="16" t="s">
        <v>1002</v>
      </c>
      <c r="C47" s="16" t="s">
        <v>1004</v>
      </c>
      <c r="D47" s="46" t="s">
        <v>1051</v>
      </c>
      <c r="E47" s="16" t="s">
        <v>1015</v>
      </c>
      <c r="F47" s="16" t="s">
        <v>1022</v>
      </c>
      <c r="G47" s="16" t="s">
        <v>1024</v>
      </c>
      <c r="H47" s="21" t="s">
        <v>67</v>
      </c>
      <c r="I47" s="18" t="str">
        <f t="shared" si="2"/>
        <v>- 52</v>
      </c>
      <c r="J47" s="22" t="s">
        <v>65</v>
      </c>
      <c r="K47" s="23">
        <v>1180944172</v>
      </c>
    </row>
    <row r="48" spans="2:11" x14ac:dyDescent="0.2">
      <c r="B48" s="16"/>
      <c r="C48" s="16"/>
      <c r="D48" s="16"/>
      <c r="E48" s="16"/>
      <c r="F48" s="16"/>
      <c r="G48" s="16"/>
      <c r="H48" s="21" t="s">
        <v>68</v>
      </c>
      <c r="I48" s="18"/>
      <c r="J48" s="22" t="s">
        <v>69</v>
      </c>
      <c r="K48" s="23">
        <v>17445464709</v>
      </c>
    </row>
    <row r="49" spans="2:11" x14ac:dyDescent="0.2">
      <c r="B49" s="16" t="s">
        <v>1002</v>
      </c>
      <c r="C49" s="16" t="s">
        <v>1004</v>
      </c>
      <c r="D49" s="46" t="s">
        <v>1051</v>
      </c>
      <c r="E49" s="16" t="s">
        <v>1015</v>
      </c>
      <c r="F49" s="16" t="s">
        <v>1022</v>
      </c>
      <c r="G49" s="16" t="s">
        <v>1024</v>
      </c>
      <c r="H49" s="21" t="s">
        <v>70</v>
      </c>
      <c r="I49" s="18" t="str">
        <f t="shared" si="2"/>
        <v>- 61</v>
      </c>
      <c r="J49" s="22" t="s">
        <v>69</v>
      </c>
      <c r="K49" s="23">
        <v>17445464709</v>
      </c>
    </row>
    <row r="50" spans="2:11" x14ac:dyDescent="0.2">
      <c r="B50" s="16"/>
      <c r="C50" s="16"/>
      <c r="D50" s="16"/>
      <c r="E50" s="16"/>
      <c r="F50" s="16"/>
      <c r="G50" s="16"/>
      <c r="H50" s="21" t="s">
        <v>71</v>
      </c>
      <c r="I50" s="18"/>
      <c r="J50" s="22" t="s">
        <v>72</v>
      </c>
      <c r="K50" s="23">
        <v>113665062558</v>
      </c>
    </row>
    <row r="51" spans="2:11" x14ac:dyDescent="0.2">
      <c r="B51" s="16" t="s">
        <v>1002</v>
      </c>
      <c r="C51" s="16" t="s">
        <v>1004</v>
      </c>
      <c r="D51" s="46" t="s">
        <v>1051</v>
      </c>
      <c r="E51" s="16" t="s">
        <v>1016</v>
      </c>
      <c r="F51" s="16" t="s">
        <v>1022</v>
      </c>
      <c r="G51" s="16" t="s">
        <v>1024</v>
      </c>
      <c r="H51" s="21" t="s">
        <v>73</v>
      </c>
      <c r="I51" s="18" t="str">
        <f t="shared" si="2"/>
        <v>- 08</v>
      </c>
      <c r="J51" s="22" t="s">
        <v>74</v>
      </c>
      <c r="K51" s="23">
        <v>13710176465</v>
      </c>
    </row>
    <row r="52" spans="2:11" x14ac:dyDescent="0.2">
      <c r="B52" s="16" t="s">
        <v>1002</v>
      </c>
      <c r="C52" s="16" t="s">
        <v>1004</v>
      </c>
      <c r="D52" s="46" t="s">
        <v>1051</v>
      </c>
      <c r="E52" s="16" t="s">
        <v>1016</v>
      </c>
      <c r="F52" s="16" t="s">
        <v>1022</v>
      </c>
      <c r="G52" s="16" t="s">
        <v>1024</v>
      </c>
      <c r="H52" s="21" t="s">
        <v>75</v>
      </c>
      <c r="I52" s="18" t="str">
        <f t="shared" si="2"/>
        <v>- 04</v>
      </c>
      <c r="J52" s="22" t="s">
        <v>76</v>
      </c>
      <c r="K52" s="23">
        <v>17137544471</v>
      </c>
    </row>
    <row r="53" spans="2:11" x14ac:dyDescent="0.2">
      <c r="B53" s="16" t="s">
        <v>1002</v>
      </c>
      <c r="C53" s="16" t="s">
        <v>1004</v>
      </c>
      <c r="D53" s="46" t="s">
        <v>1051</v>
      </c>
      <c r="E53" s="16" t="s">
        <v>1016</v>
      </c>
      <c r="F53" s="16" t="s">
        <v>1022</v>
      </c>
      <c r="G53" s="16" t="s">
        <v>1024</v>
      </c>
      <c r="H53" s="21" t="s">
        <v>77</v>
      </c>
      <c r="I53" s="18" t="str">
        <f t="shared" si="2"/>
        <v>- 05</v>
      </c>
      <c r="J53" s="22" t="s">
        <v>78</v>
      </c>
      <c r="K53" s="23">
        <v>8660166246</v>
      </c>
    </row>
    <row r="54" spans="2:11" x14ac:dyDescent="0.2">
      <c r="B54" s="16" t="s">
        <v>1002</v>
      </c>
      <c r="C54" s="16" t="s">
        <v>1004</v>
      </c>
      <c r="D54" s="46" t="s">
        <v>1051</v>
      </c>
      <c r="E54" s="16" t="s">
        <v>1016</v>
      </c>
      <c r="F54" s="16" t="s">
        <v>1022</v>
      </c>
      <c r="G54" s="16" t="s">
        <v>1024</v>
      </c>
      <c r="H54" s="21" t="s">
        <v>79</v>
      </c>
      <c r="I54" s="18" t="str">
        <f t="shared" si="2"/>
        <v>- 45</v>
      </c>
      <c r="J54" s="22" t="s">
        <v>80</v>
      </c>
      <c r="K54" s="23">
        <v>17722331469</v>
      </c>
    </row>
    <row r="55" spans="2:11" x14ac:dyDescent="0.2">
      <c r="B55" s="16" t="s">
        <v>1002</v>
      </c>
      <c r="C55" s="16" t="s">
        <v>1004</v>
      </c>
      <c r="D55" s="46" t="s">
        <v>1051</v>
      </c>
      <c r="E55" s="16" t="s">
        <v>1016</v>
      </c>
      <c r="F55" s="16" t="s">
        <v>1022</v>
      </c>
      <c r="G55" s="16" t="s">
        <v>1024</v>
      </c>
      <c r="H55" s="21" t="s">
        <v>81</v>
      </c>
      <c r="I55" s="18" t="str">
        <f t="shared" si="2"/>
        <v xml:space="preserve"> 06A</v>
      </c>
      <c r="J55" s="22" t="s">
        <v>82</v>
      </c>
      <c r="K55" s="23">
        <v>29508800000</v>
      </c>
    </row>
    <row r="56" spans="2:11" x14ac:dyDescent="0.2">
      <c r="B56" s="16" t="s">
        <v>1002</v>
      </c>
      <c r="C56" s="16" t="s">
        <v>1004</v>
      </c>
      <c r="D56" s="46" t="s">
        <v>1051</v>
      </c>
      <c r="E56" s="16" t="s">
        <v>1016</v>
      </c>
      <c r="F56" s="16" t="s">
        <v>1022</v>
      </c>
      <c r="G56" s="16" t="s">
        <v>1024</v>
      </c>
      <c r="H56" s="21" t="s">
        <v>965</v>
      </c>
      <c r="I56" s="18" t="s">
        <v>877</v>
      </c>
      <c r="J56" s="22" t="s">
        <v>82</v>
      </c>
      <c r="K56" s="23">
        <v>1350000000</v>
      </c>
    </row>
    <row r="57" spans="2:11" ht="15" customHeight="1" x14ac:dyDescent="0.2">
      <c r="B57" s="16" t="s">
        <v>1002</v>
      </c>
      <c r="C57" s="16" t="s">
        <v>1004</v>
      </c>
      <c r="D57" s="46" t="s">
        <v>1051</v>
      </c>
      <c r="E57" s="16" t="s">
        <v>1016</v>
      </c>
      <c r="F57" s="16" t="s">
        <v>1022</v>
      </c>
      <c r="G57" s="16" t="s">
        <v>1024</v>
      </c>
      <c r="H57" s="21" t="s">
        <v>83</v>
      </c>
      <c r="I57" s="18" t="str">
        <f t="shared" si="2"/>
        <v xml:space="preserve"> 12A</v>
      </c>
      <c r="J57" s="22" t="s">
        <v>84</v>
      </c>
      <c r="K57" s="23">
        <v>15379328550</v>
      </c>
    </row>
    <row r="58" spans="2:11" ht="15" customHeight="1" x14ac:dyDescent="0.2">
      <c r="B58" s="16" t="s">
        <v>1002</v>
      </c>
      <c r="C58" s="16" t="s">
        <v>1004</v>
      </c>
      <c r="D58" s="46" t="s">
        <v>1051</v>
      </c>
      <c r="E58" s="16" t="s">
        <v>1016</v>
      </c>
      <c r="F58" s="16" t="s">
        <v>1022</v>
      </c>
      <c r="G58" s="16" t="s">
        <v>1024</v>
      </c>
      <c r="H58" s="21" t="s">
        <v>991</v>
      </c>
      <c r="I58" s="18">
        <v>47</v>
      </c>
      <c r="J58" s="22" t="s">
        <v>968</v>
      </c>
      <c r="K58" s="23">
        <v>10196715357</v>
      </c>
    </row>
    <row r="59" spans="2:11" s="13" customFormat="1" ht="15.75" customHeight="1" x14ac:dyDescent="0.25">
      <c r="B59" s="24"/>
      <c r="C59" s="24"/>
      <c r="D59" s="24"/>
      <c r="E59" s="24"/>
      <c r="F59" s="24"/>
      <c r="G59" s="24"/>
      <c r="H59" s="17" t="s">
        <v>85</v>
      </c>
      <c r="I59" s="18"/>
      <c r="J59" s="19" t="s">
        <v>86</v>
      </c>
      <c r="K59" s="20">
        <v>59311510793</v>
      </c>
    </row>
    <row r="60" spans="2:11" s="13" customFormat="1" ht="15.75" customHeight="1" x14ac:dyDescent="0.25">
      <c r="B60" s="24"/>
      <c r="C60" s="24"/>
      <c r="D60" s="24"/>
      <c r="E60" s="24"/>
      <c r="F60" s="24"/>
      <c r="G60" s="24"/>
      <c r="H60" s="17" t="s">
        <v>87</v>
      </c>
      <c r="I60" s="18"/>
      <c r="J60" s="19" t="s">
        <v>88</v>
      </c>
      <c r="K60" s="23">
        <v>757040488</v>
      </c>
    </row>
    <row r="61" spans="2:11" ht="15" customHeight="1" x14ac:dyDescent="0.2">
      <c r="B61" s="16"/>
      <c r="C61" s="16"/>
      <c r="D61" s="16"/>
      <c r="E61" s="16"/>
      <c r="F61" s="16"/>
      <c r="G61" s="16"/>
      <c r="H61" s="21" t="s">
        <v>89</v>
      </c>
      <c r="I61" s="18"/>
      <c r="J61" s="22" t="s">
        <v>90</v>
      </c>
      <c r="K61" s="23">
        <v>757040488</v>
      </c>
    </row>
    <row r="62" spans="2:11" ht="15" customHeight="1" x14ac:dyDescent="0.2">
      <c r="B62" s="16"/>
      <c r="C62" s="16"/>
      <c r="D62" s="16"/>
      <c r="E62" s="16"/>
      <c r="F62" s="16"/>
      <c r="G62" s="16"/>
      <c r="H62" s="21" t="s">
        <v>91</v>
      </c>
      <c r="I62" s="18"/>
      <c r="J62" s="22" t="s">
        <v>92</v>
      </c>
      <c r="K62" s="23">
        <v>757040488</v>
      </c>
    </row>
    <row r="63" spans="2:11" ht="15" customHeight="1" x14ac:dyDescent="0.2">
      <c r="B63" s="16" t="s">
        <v>1002</v>
      </c>
      <c r="C63" s="16" t="s">
        <v>1004</v>
      </c>
      <c r="D63" s="46" t="s">
        <v>1051</v>
      </c>
      <c r="E63" s="16" t="s">
        <v>1015</v>
      </c>
      <c r="F63" s="16" t="s">
        <v>1022</v>
      </c>
      <c r="G63" s="16" t="s">
        <v>1025</v>
      </c>
      <c r="H63" s="21" t="s">
        <v>93</v>
      </c>
      <c r="I63" s="18" t="str">
        <f>RIGHT(H63,4)</f>
        <v>- 18</v>
      </c>
      <c r="J63" s="22" t="s">
        <v>92</v>
      </c>
      <c r="K63" s="23">
        <v>757040488</v>
      </c>
    </row>
    <row r="64" spans="2:11" s="13" customFormat="1" ht="15.75" customHeight="1" x14ac:dyDescent="0.25">
      <c r="B64" s="24"/>
      <c r="C64" s="24"/>
      <c r="D64" s="24"/>
      <c r="E64" s="24"/>
      <c r="F64" s="24"/>
      <c r="G64" s="24"/>
      <c r="H64" s="17" t="s">
        <v>94</v>
      </c>
      <c r="I64" s="18"/>
      <c r="J64" s="19" t="s">
        <v>95</v>
      </c>
      <c r="K64" s="20">
        <v>1532988480</v>
      </c>
    </row>
    <row r="65" spans="2:11" ht="15" customHeight="1" x14ac:dyDescent="0.2">
      <c r="B65" s="16"/>
      <c r="C65" s="16"/>
      <c r="D65" s="16"/>
      <c r="E65" s="16"/>
      <c r="F65" s="16"/>
      <c r="G65" s="16"/>
      <c r="H65" s="21" t="s">
        <v>96</v>
      </c>
      <c r="I65" s="18"/>
      <c r="J65" s="22" t="s">
        <v>97</v>
      </c>
      <c r="K65" s="23">
        <v>732988480</v>
      </c>
    </row>
    <row r="66" spans="2:11" ht="15" customHeight="1" x14ac:dyDescent="0.2">
      <c r="B66" s="16" t="s">
        <v>1002</v>
      </c>
      <c r="C66" s="16" t="s">
        <v>1004</v>
      </c>
      <c r="D66" s="46" t="s">
        <v>1051</v>
      </c>
      <c r="E66" s="16" t="s">
        <v>1013</v>
      </c>
      <c r="F66" s="16" t="s">
        <v>1022</v>
      </c>
      <c r="G66" s="16" t="s">
        <v>1025</v>
      </c>
      <c r="H66" s="21" t="s">
        <v>98</v>
      </c>
      <c r="I66" s="18" t="str">
        <f t="shared" ref="I66:I72" si="3">RIGHT(H66,4)</f>
        <v>- 20</v>
      </c>
      <c r="J66" s="22" t="s">
        <v>99</v>
      </c>
      <c r="K66" s="23">
        <v>24752070</v>
      </c>
    </row>
    <row r="67" spans="2:11" ht="15" customHeight="1" x14ac:dyDescent="0.2">
      <c r="B67" s="16" t="s">
        <v>1002</v>
      </c>
      <c r="C67" s="16" t="s">
        <v>1004</v>
      </c>
      <c r="D67" s="46" t="s">
        <v>1051</v>
      </c>
      <c r="E67" s="16" t="s">
        <v>1013</v>
      </c>
      <c r="F67" s="16" t="s">
        <v>1022</v>
      </c>
      <c r="G67" s="16" t="s">
        <v>1025</v>
      </c>
      <c r="H67" s="21" t="s">
        <v>100</v>
      </c>
      <c r="I67" s="18" t="str">
        <f t="shared" si="3"/>
        <v>- 20</v>
      </c>
      <c r="J67" s="22" t="s">
        <v>101</v>
      </c>
      <c r="K67" s="23">
        <v>700000000</v>
      </c>
    </row>
    <row r="68" spans="2:11" ht="15" customHeight="1" x14ac:dyDescent="0.2">
      <c r="B68" s="16" t="s">
        <v>1002</v>
      </c>
      <c r="C68" s="16" t="s">
        <v>1004</v>
      </c>
      <c r="D68" s="46" t="s">
        <v>1051</v>
      </c>
      <c r="E68" s="16" t="s">
        <v>1013</v>
      </c>
      <c r="F68" s="16" t="s">
        <v>1022</v>
      </c>
      <c r="G68" s="16" t="s">
        <v>1025</v>
      </c>
      <c r="H68" s="21" t="s">
        <v>102</v>
      </c>
      <c r="I68" s="18" t="str">
        <f t="shared" si="3"/>
        <v>- 20</v>
      </c>
      <c r="J68" s="22" t="s">
        <v>103</v>
      </c>
      <c r="K68" s="23">
        <v>0</v>
      </c>
    </row>
    <row r="69" spans="2:11" ht="15" customHeight="1" x14ac:dyDescent="0.2">
      <c r="B69" s="16" t="s">
        <v>1002</v>
      </c>
      <c r="C69" s="16" t="s">
        <v>1004</v>
      </c>
      <c r="D69" s="46" t="s">
        <v>1051</v>
      </c>
      <c r="E69" s="16" t="s">
        <v>1013</v>
      </c>
      <c r="F69" s="16" t="s">
        <v>1022</v>
      </c>
      <c r="G69" s="16" t="s">
        <v>1025</v>
      </c>
      <c r="H69" s="21" t="s">
        <v>104</v>
      </c>
      <c r="I69" s="18" t="str">
        <f t="shared" si="3"/>
        <v>- 20</v>
      </c>
      <c r="J69" s="22" t="s">
        <v>105</v>
      </c>
      <c r="K69" s="23">
        <v>1274490</v>
      </c>
    </row>
    <row r="70" spans="2:11" ht="15" customHeight="1" x14ac:dyDescent="0.2">
      <c r="B70" s="16" t="s">
        <v>1002</v>
      </c>
      <c r="C70" s="16" t="s">
        <v>1004</v>
      </c>
      <c r="D70" s="46" t="s">
        <v>1051</v>
      </c>
      <c r="E70" s="16" t="s">
        <v>1013</v>
      </c>
      <c r="F70" s="16" t="s">
        <v>1022</v>
      </c>
      <c r="G70" s="16" t="s">
        <v>1025</v>
      </c>
      <c r="H70" s="21" t="s">
        <v>106</v>
      </c>
      <c r="I70" s="18" t="str">
        <f t="shared" si="3"/>
        <v>- 20</v>
      </c>
      <c r="J70" s="22" t="s">
        <v>107</v>
      </c>
      <c r="K70" s="23">
        <v>6961920</v>
      </c>
    </row>
    <row r="71" spans="2:11" ht="15" customHeight="1" x14ac:dyDescent="0.2">
      <c r="B71" s="16"/>
      <c r="C71" s="16"/>
      <c r="D71" s="16"/>
      <c r="E71" s="16"/>
      <c r="F71" s="16"/>
      <c r="G71" s="16"/>
      <c r="H71" s="21" t="s">
        <v>108</v>
      </c>
      <c r="I71" s="18"/>
      <c r="J71" s="22" t="s">
        <v>109</v>
      </c>
      <c r="K71" s="23">
        <v>800000000</v>
      </c>
    </row>
    <row r="72" spans="2:11" ht="15" customHeight="1" x14ac:dyDescent="0.2">
      <c r="B72" s="16" t="s">
        <v>1002</v>
      </c>
      <c r="C72" s="16" t="s">
        <v>1004</v>
      </c>
      <c r="D72" s="46" t="s">
        <v>1051</v>
      </c>
      <c r="E72" s="16" t="s">
        <v>1013</v>
      </c>
      <c r="F72" s="16" t="s">
        <v>1022</v>
      </c>
      <c r="G72" s="16" t="s">
        <v>1025</v>
      </c>
      <c r="H72" s="21" t="s">
        <v>110</v>
      </c>
      <c r="I72" s="18" t="str">
        <f t="shared" si="3"/>
        <v>- 20</v>
      </c>
      <c r="J72" s="22" t="s">
        <v>109</v>
      </c>
      <c r="K72" s="23">
        <v>800000000</v>
      </c>
    </row>
    <row r="73" spans="2:11" s="13" customFormat="1" ht="15.75" customHeight="1" x14ac:dyDescent="0.25">
      <c r="B73" s="24"/>
      <c r="C73" s="24"/>
      <c r="D73" s="24"/>
      <c r="E73" s="24"/>
      <c r="F73" s="24"/>
      <c r="G73" s="24"/>
      <c r="H73" s="17" t="s">
        <v>111</v>
      </c>
      <c r="I73" s="18"/>
      <c r="J73" s="19" t="s">
        <v>112</v>
      </c>
      <c r="K73" s="20">
        <v>117306000</v>
      </c>
    </row>
    <row r="74" spans="2:11" ht="15" customHeight="1" x14ac:dyDescent="0.2">
      <c r="B74" s="16"/>
      <c r="C74" s="16"/>
      <c r="D74" s="16"/>
      <c r="E74" s="16"/>
      <c r="F74" s="16"/>
      <c r="G74" s="16"/>
      <c r="H74" s="21" t="s">
        <v>113</v>
      </c>
      <c r="I74" s="18"/>
      <c r="J74" s="22" t="s">
        <v>114</v>
      </c>
      <c r="K74" s="23">
        <v>117306000</v>
      </c>
    </row>
    <row r="75" spans="2:11" ht="15" customHeight="1" x14ac:dyDescent="0.2">
      <c r="B75" s="16"/>
      <c r="C75" s="16"/>
      <c r="D75" s="16"/>
      <c r="E75" s="16"/>
      <c r="F75" s="16"/>
      <c r="G75" s="16"/>
      <c r="H75" s="21" t="s">
        <v>115</v>
      </c>
      <c r="I75" s="18"/>
      <c r="J75" s="22" t="s">
        <v>116</v>
      </c>
      <c r="K75" s="23"/>
    </row>
    <row r="76" spans="2:11" ht="15" customHeight="1" x14ac:dyDescent="0.2">
      <c r="B76" s="16"/>
      <c r="C76" s="16"/>
      <c r="D76" s="16"/>
      <c r="E76" s="16"/>
      <c r="F76" s="16"/>
      <c r="G76" s="16"/>
      <c r="H76" s="21" t="s">
        <v>117</v>
      </c>
      <c r="I76" s="18"/>
      <c r="J76" s="22" t="s">
        <v>118</v>
      </c>
      <c r="K76" s="23"/>
    </row>
    <row r="77" spans="2:11" ht="15" customHeight="1" x14ac:dyDescent="0.2">
      <c r="B77" s="16"/>
      <c r="C77" s="16"/>
      <c r="D77" s="16"/>
      <c r="E77" s="16"/>
      <c r="F77" s="16"/>
      <c r="G77" s="16"/>
      <c r="H77" s="21" t="s">
        <v>119</v>
      </c>
      <c r="I77" s="18"/>
      <c r="J77" s="22" t="s">
        <v>120</v>
      </c>
      <c r="K77" s="23"/>
    </row>
    <row r="78" spans="2:11" ht="15" customHeight="1" x14ac:dyDescent="0.2">
      <c r="B78" s="16"/>
      <c r="C78" s="16"/>
      <c r="D78" s="16"/>
      <c r="E78" s="16"/>
      <c r="F78" s="16"/>
      <c r="G78" s="16"/>
      <c r="H78" s="21" t="s">
        <v>121</v>
      </c>
      <c r="I78" s="18"/>
      <c r="J78" s="22" t="s">
        <v>122</v>
      </c>
      <c r="K78" s="23"/>
    </row>
    <row r="79" spans="2:11" ht="15" customHeight="1" x14ac:dyDescent="0.2">
      <c r="B79" s="16" t="s">
        <v>1002</v>
      </c>
      <c r="C79" s="16" t="s">
        <v>1004</v>
      </c>
      <c r="D79" s="46" t="s">
        <v>1051</v>
      </c>
      <c r="E79" s="16" t="s">
        <v>1015</v>
      </c>
      <c r="F79" s="16" t="s">
        <v>1022</v>
      </c>
      <c r="G79" s="16" t="s">
        <v>1025</v>
      </c>
      <c r="H79" s="21" t="s">
        <v>123</v>
      </c>
      <c r="I79" s="18" t="str">
        <f>RIGHT(H79,4)</f>
        <v>- 13</v>
      </c>
      <c r="J79" s="22" t="s">
        <v>124</v>
      </c>
      <c r="K79" s="23">
        <v>0</v>
      </c>
    </row>
    <row r="80" spans="2:11" ht="15" customHeight="1" x14ac:dyDescent="0.2">
      <c r="B80" s="16"/>
      <c r="C80" s="16"/>
      <c r="D80" s="16"/>
      <c r="E80" s="16"/>
      <c r="F80" s="16"/>
      <c r="G80" s="16"/>
      <c r="H80" s="21" t="s">
        <v>125</v>
      </c>
      <c r="I80" s="18"/>
      <c r="J80" s="22" t="s">
        <v>126</v>
      </c>
      <c r="K80" s="23"/>
    </row>
    <row r="81" spans="2:11" ht="15" customHeight="1" x14ac:dyDescent="0.2">
      <c r="B81" s="16"/>
      <c r="C81" s="16"/>
      <c r="D81" s="16"/>
      <c r="E81" s="16"/>
      <c r="F81" s="16"/>
      <c r="G81" s="16"/>
      <c r="H81" s="21" t="s">
        <v>127</v>
      </c>
      <c r="I81" s="18"/>
      <c r="J81" s="22" t="s">
        <v>128</v>
      </c>
      <c r="K81" s="23"/>
    </row>
    <row r="82" spans="2:11" ht="15" customHeight="1" x14ac:dyDescent="0.2">
      <c r="B82" s="16"/>
      <c r="C82" s="16"/>
      <c r="D82" s="16"/>
      <c r="E82" s="16"/>
      <c r="F82" s="16"/>
      <c r="G82" s="16"/>
      <c r="H82" s="21" t="s">
        <v>129</v>
      </c>
      <c r="I82" s="18"/>
      <c r="J82" s="22" t="s">
        <v>130</v>
      </c>
      <c r="K82" s="23"/>
    </row>
    <row r="83" spans="2:11" ht="15" customHeight="1" x14ac:dyDescent="0.2">
      <c r="B83" s="16" t="s">
        <v>1002</v>
      </c>
      <c r="C83" s="16" t="s">
        <v>1004</v>
      </c>
      <c r="D83" s="46" t="s">
        <v>1051</v>
      </c>
      <c r="E83" s="16" t="s">
        <v>1015</v>
      </c>
      <c r="F83" s="16" t="s">
        <v>1022</v>
      </c>
      <c r="G83" s="16" t="s">
        <v>1025</v>
      </c>
      <c r="H83" s="21" t="s">
        <v>131</v>
      </c>
      <c r="I83" s="18" t="str">
        <f>RIGHT(H83,4)</f>
        <v>- 13</v>
      </c>
      <c r="J83" s="22" t="s">
        <v>132</v>
      </c>
      <c r="K83" s="23">
        <v>0</v>
      </c>
    </row>
    <row r="84" spans="2:11" ht="15" customHeight="1" x14ac:dyDescent="0.2">
      <c r="B84" s="16"/>
      <c r="C84" s="16"/>
      <c r="D84" s="16"/>
      <c r="E84" s="16"/>
      <c r="F84" s="16"/>
      <c r="G84" s="16"/>
      <c r="H84" s="21" t="s">
        <v>133</v>
      </c>
      <c r="I84" s="18"/>
      <c r="J84" s="22" t="s">
        <v>134</v>
      </c>
      <c r="K84" s="23"/>
    </row>
    <row r="85" spans="2:11" ht="15" customHeight="1" x14ac:dyDescent="0.2">
      <c r="B85" s="16"/>
      <c r="C85" s="16"/>
      <c r="D85" s="16"/>
      <c r="E85" s="16"/>
      <c r="F85" s="16"/>
      <c r="G85" s="16"/>
      <c r="H85" s="21" t="s">
        <v>135</v>
      </c>
      <c r="I85" s="18"/>
      <c r="J85" s="22" t="s">
        <v>136</v>
      </c>
      <c r="K85" s="23"/>
    </row>
    <row r="86" spans="2:11" ht="15" customHeight="1" x14ac:dyDescent="0.2">
      <c r="B86" s="16"/>
      <c r="C86" s="16"/>
      <c r="D86" s="16"/>
      <c r="E86" s="16"/>
      <c r="F86" s="16"/>
      <c r="G86" s="16"/>
      <c r="H86" s="21" t="s">
        <v>137</v>
      </c>
      <c r="I86" s="18"/>
      <c r="J86" s="22" t="s">
        <v>138</v>
      </c>
      <c r="K86" s="23"/>
    </row>
    <row r="87" spans="2:11" ht="15" customHeight="1" x14ac:dyDescent="0.2">
      <c r="B87" s="16"/>
      <c r="C87" s="16"/>
      <c r="D87" s="16"/>
      <c r="E87" s="16"/>
      <c r="F87" s="16"/>
      <c r="G87" s="16"/>
      <c r="H87" s="21" t="s">
        <v>139</v>
      </c>
      <c r="I87" s="18"/>
      <c r="J87" s="22" t="s">
        <v>140</v>
      </c>
      <c r="K87" s="23"/>
    </row>
    <row r="88" spans="2:11" ht="30" customHeight="1" x14ac:dyDescent="0.2">
      <c r="B88" s="16" t="s">
        <v>1002</v>
      </c>
      <c r="C88" s="16" t="s">
        <v>1004</v>
      </c>
      <c r="D88" s="46" t="s">
        <v>1051</v>
      </c>
      <c r="E88" s="16" t="s">
        <v>1013</v>
      </c>
      <c r="F88" s="16" t="s">
        <v>1022</v>
      </c>
      <c r="G88" s="16" t="s">
        <v>1025</v>
      </c>
      <c r="H88" s="21" t="s">
        <v>141</v>
      </c>
      <c r="I88" s="18" t="str">
        <f>RIGHT(H88,4)</f>
        <v>- 20</v>
      </c>
      <c r="J88" s="22" t="s">
        <v>142</v>
      </c>
      <c r="K88" s="23">
        <v>0</v>
      </c>
    </row>
    <row r="89" spans="2:11" ht="15" customHeight="1" x14ac:dyDescent="0.2">
      <c r="B89" s="16"/>
      <c r="C89" s="16"/>
      <c r="D89" s="16"/>
      <c r="E89" s="16"/>
      <c r="F89" s="16"/>
      <c r="G89" s="16"/>
      <c r="H89" s="21" t="s">
        <v>143</v>
      </c>
      <c r="I89" s="18"/>
      <c r="J89" s="22" t="s">
        <v>144</v>
      </c>
      <c r="K89" s="23">
        <v>117306000</v>
      </c>
    </row>
    <row r="90" spans="2:11" ht="30" customHeight="1" x14ac:dyDescent="0.2">
      <c r="B90" s="16"/>
      <c r="C90" s="16"/>
      <c r="D90" s="16"/>
      <c r="E90" s="16"/>
      <c r="F90" s="16"/>
      <c r="G90" s="16"/>
      <c r="H90" s="21" t="s">
        <v>145</v>
      </c>
      <c r="I90" s="18"/>
      <c r="J90" s="22" t="s">
        <v>146</v>
      </c>
      <c r="K90" s="23"/>
    </row>
    <row r="91" spans="2:11" ht="15" customHeight="1" x14ac:dyDescent="0.2">
      <c r="B91" s="16"/>
      <c r="C91" s="16"/>
      <c r="D91" s="16"/>
      <c r="E91" s="16"/>
      <c r="F91" s="16"/>
      <c r="G91" s="16"/>
      <c r="H91" s="21" t="s">
        <v>147</v>
      </c>
      <c r="I91" s="18"/>
      <c r="J91" s="22" t="s">
        <v>148</v>
      </c>
      <c r="K91" s="23"/>
    </row>
    <row r="92" spans="2:11" ht="30" customHeight="1" x14ac:dyDescent="0.2">
      <c r="B92" s="16"/>
      <c r="C92" s="16"/>
      <c r="D92" s="16"/>
      <c r="E92" s="16"/>
      <c r="F92" s="16"/>
      <c r="G92" s="16"/>
      <c r="H92" s="21" t="s">
        <v>149</v>
      </c>
      <c r="I92" s="18"/>
      <c r="J92" s="22" t="s">
        <v>150</v>
      </c>
      <c r="K92" s="23"/>
    </row>
    <row r="93" spans="2:11" ht="30" customHeight="1" x14ac:dyDescent="0.2">
      <c r="B93" s="16"/>
      <c r="C93" s="16"/>
      <c r="D93" s="16"/>
      <c r="E93" s="16"/>
      <c r="F93" s="16"/>
      <c r="G93" s="16"/>
      <c r="H93" s="21" t="s">
        <v>151</v>
      </c>
      <c r="I93" s="18"/>
      <c r="J93" s="22" t="s">
        <v>152</v>
      </c>
      <c r="K93" s="23"/>
    </row>
    <row r="94" spans="2:11" ht="30" customHeight="1" x14ac:dyDescent="0.2">
      <c r="B94" s="16" t="s">
        <v>1002</v>
      </c>
      <c r="C94" s="16" t="s">
        <v>1004</v>
      </c>
      <c r="D94" s="46" t="s">
        <v>1051</v>
      </c>
      <c r="E94" s="16" t="s">
        <v>1015</v>
      </c>
      <c r="F94" s="16" t="s">
        <v>1022</v>
      </c>
      <c r="G94" s="16" t="s">
        <v>1025</v>
      </c>
      <c r="H94" s="21" t="s">
        <v>153</v>
      </c>
      <c r="I94" s="18" t="str">
        <f>RIGHT(H94,4)</f>
        <v xml:space="preserve"> 152</v>
      </c>
      <c r="J94" s="22" t="s">
        <v>154</v>
      </c>
      <c r="K94" s="23">
        <v>0</v>
      </c>
    </row>
    <row r="95" spans="2:11" ht="15" customHeight="1" x14ac:dyDescent="0.2">
      <c r="B95" s="16"/>
      <c r="C95" s="16"/>
      <c r="D95" s="16"/>
      <c r="E95" s="16"/>
      <c r="F95" s="16"/>
      <c r="G95" s="16"/>
      <c r="H95" s="21" t="s">
        <v>155</v>
      </c>
      <c r="I95" s="18"/>
      <c r="J95" s="22" t="s">
        <v>156</v>
      </c>
      <c r="K95" s="23">
        <v>117306000</v>
      </c>
    </row>
    <row r="96" spans="2:11" ht="15" customHeight="1" x14ac:dyDescent="0.2">
      <c r="B96" s="16"/>
      <c r="C96" s="16"/>
      <c r="D96" s="16"/>
      <c r="E96" s="16"/>
      <c r="F96" s="16"/>
      <c r="G96" s="16"/>
      <c r="H96" s="21" t="s">
        <v>157</v>
      </c>
      <c r="I96" s="18"/>
      <c r="J96" s="22" t="s">
        <v>158</v>
      </c>
      <c r="K96" s="23">
        <v>117306000</v>
      </c>
    </row>
    <row r="97" spans="2:11" ht="15" customHeight="1" x14ac:dyDescent="0.2">
      <c r="B97" s="16" t="s">
        <v>1002</v>
      </c>
      <c r="C97" s="16" t="s">
        <v>1004</v>
      </c>
      <c r="D97" s="46" t="s">
        <v>1051</v>
      </c>
      <c r="E97" s="16" t="s">
        <v>1015</v>
      </c>
      <c r="F97" s="16" t="s">
        <v>1022</v>
      </c>
      <c r="G97" s="16" t="s">
        <v>1025</v>
      </c>
      <c r="H97" s="21" t="s">
        <v>159</v>
      </c>
      <c r="I97" s="18" t="str">
        <f>RIGHT(H97,4)</f>
        <v>- 13</v>
      </c>
      <c r="J97" s="22" t="s">
        <v>160</v>
      </c>
      <c r="K97" s="23">
        <v>115416000</v>
      </c>
    </row>
    <row r="98" spans="2:11" ht="30" customHeight="1" x14ac:dyDescent="0.2">
      <c r="B98" s="16" t="s">
        <v>1002</v>
      </c>
      <c r="C98" s="16" t="s">
        <v>1004</v>
      </c>
      <c r="D98" s="46" t="s">
        <v>1051</v>
      </c>
      <c r="E98" s="16" t="s">
        <v>1015</v>
      </c>
      <c r="F98" s="16" t="s">
        <v>1022</v>
      </c>
      <c r="G98" s="16" t="s">
        <v>1025</v>
      </c>
      <c r="H98" s="21" t="s">
        <v>161</v>
      </c>
      <c r="I98" s="18" t="str">
        <f>RIGHT(H98,4)</f>
        <v>- 13</v>
      </c>
      <c r="J98" s="22" t="s">
        <v>162</v>
      </c>
      <c r="K98" s="23">
        <v>1890000</v>
      </c>
    </row>
    <row r="99" spans="2:11" s="13" customFormat="1" ht="15.75" customHeight="1" x14ac:dyDescent="0.25">
      <c r="B99" s="24"/>
      <c r="C99" s="24"/>
      <c r="D99" s="24"/>
      <c r="E99" s="24"/>
      <c r="F99" s="24"/>
      <c r="G99" s="24"/>
      <c r="H99" s="17" t="s">
        <v>163</v>
      </c>
      <c r="I99" s="18"/>
      <c r="J99" s="19" t="s">
        <v>164</v>
      </c>
      <c r="K99" s="20">
        <v>34158059396</v>
      </c>
    </row>
    <row r="100" spans="2:11" ht="15" customHeight="1" x14ac:dyDescent="0.2">
      <c r="B100" s="16"/>
      <c r="C100" s="16"/>
      <c r="D100" s="16"/>
      <c r="E100" s="16"/>
      <c r="F100" s="16"/>
      <c r="G100" s="16"/>
      <c r="H100" s="21" t="s">
        <v>165</v>
      </c>
      <c r="I100" s="18"/>
      <c r="J100" s="22" t="s">
        <v>166</v>
      </c>
      <c r="K100" s="23">
        <v>16044640917</v>
      </c>
    </row>
    <row r="101" spans="2:11" ht="15" customHeight="1" x14ac:dyDescent="0.2">
      <c r="B101" s="16"/>
      <c r="C101" s="16"/>
      <c r="D101" s="16"/>
      <c r="E101" s="16"/>
      <c r="F101" s="16"/>
      <c r="G101" s="16"/>
      <c r="H101" s="21" t="s">
        <v>167</v>
      </c>
      <c r="I101" s="18"/>
      <c r="J101" s="22" t="s">
        <v>168</v>
      </c>
      <c r="K101" s="23">
        <v>16044640917</v>
      </c>
    </row>
    <row r="102" spans="2:11" ht="15" customHeight="1" x14ac:dyDescent="0.2">
      <c r="B102" s="16" t="s">
        <v>1002</v>
      </c>
      <c r="C102" s="16" t="s">
        <v>1004</v>
      </c>
      <c r="D102" s="46" t="s">
        <v>1051</v>
      </c>
      <c r="E102" s="16" t="s">
        <v>1017</v>
      </c>
      <c r="F102" s="16" t="s">
        <v>1022</v>
      </c>
      <c r="G102" s="16" t="s">
        <v>1025</v>
      </c>
      <c r="H102" s="21" t="s">
        <v>169</v>
      </c>
      <c r="I102" s="18" t="str">
        <f>RIGHT(H102,4)</f>
        <v xml:space="preserve"> 99A</v>
      </c>
      <c r="J102" s="22" t="s">
        <v>168</v>
      </c>
      <c r="K102" s="23">
        <v>16044640917</v>
      </c>
    </row>
    <row r="103" spans="2:11" ht="15" customHeight="1" x14ac:dyDescent="0.2">
      <c r="B103" s="16"/>
      <c r="C103" s="16"/>
      <c r="D103" s="16"/>
      <c r="E103" s="16"/>
      <c r="F103" s="16"/>
      <c r="G103" s="16"/>
      <c r="H103" s="21" t="s">
        <v>170</v>
      </c>
      <c r="I103" s="18"/>
      <c r="J103" s="22" t="s">
        <v>171</v>
      </c>
      <c r="K103" s="23">
        <v>17413418479</v>
      </c>
    </row>
    <row r="104" spans="2:11" ht="15" customHeight="1" x14ac:dyDescent="0.2">
      <c r="B104" s="16"/>
      <c r="C104" s="16"/>
      <c r="D104" s="16"/>
      <c r="E104" s="16"/>
      <c r="F104" s="16"/>
      <c r="G104" s="16"/>
      <c r="H104" s="21" t="s">
        <v>172</v>
      </c>
      <c r="I104" s="18"/>
      <c r="J104" s="22" t="s">
        <v>173</v>
      </c>
      <c r="K104" s="23">
        <v>17413418479</v>
      </c>
    </row>
    <row r="105" spans="2:11" ht="15" customHeight="1" x14ac:dyDescent="0.2">
      <c r="B105" s="16"/>
      <c r="C105" s="16"/>
      <c r="D105" s="16"/>
      <c r="E105" s="16"/>
      <c r="F105" s="16"/>
      <c r="G105" s="16"/>
      <c r="H105" s="21" t="s">
        <v>174</v>
      </c>
      <c r="I105" s="18"/>
      <c r="J105" s="22" t="s">
        <v>175</v>
      </c>
      <c r="K105" s="23">
        <v>17183962426</v>
      </c>
    </row>
    <row r="106" spans="2:11" ht="15" customHeight="1" x14ac:dyDescent="0.2">
      <c r="B106" s="16" t="s">
        <v>1002</v>
      </c>
      <c r="C106" s="16" t="s">
        <v>1004</v>
      </c>
      <c r="D106" s="46" t="s">
        <v>1051</v>
      </c>
      <c r="E106" s="16" t="s">
        <v>1015</v>
      </c>
      <c r="F106" s="16" t="s">
        <v>1022</v>
      </c>
      <c r="G106" s="16" t="s">
        <v>1025</v>
      </c>
      <c r="H106" s="21" t="s">
        <v>176</v>
      </c>
      <c r="I106" s="18" t="str">
        <f>RIGHT(H106,4)</f>
        <v>- 23</v>
      </c>
      <c r="J106" s="22" t="s">
        <v>175</v>
      </c>
      <c r="K106" s="23">
        <v>17183962426</v>
      </c>
    </row>
    <row r="107" spans="2:11" ht="30" customHeight="1" x14ac:dyDescent="0.2">
      <c r="B107" s="16"/>
      <c r="C107" s="16"/>
      <c r="D107" s="16"/>
      <c r="E107" s="16"/>
      <c r="F107" s="16"/>
      <c r="G107" s="16"/>
      <c r="H107" s="21" t="s">
        <v>177</v>
      </c>
      <c r="I107" s="18"/>
      <c r="J107" s="22" t="s">
        <v>178</v>
      </c>
      <c r="K107" s="23">
        <v>229456053</v>
      </c>
    </row>
    <row r="108" spans="2:11" ht="30" customHeight="1" x14ac:dyDescent="0.2">
      <c r="B108" s="16" t="s">
        <v>1002</v>
      </c>
      <c r="C108" s="16" t="s">
        <v>1004</v>
      </c>
      <c r="D108" s="46" t="s">
        <v>1051</v>
      </c>
      <c r="E108" s="16" t="s">
        <v>1015</v>
      </c>
      <c r="F108" s="16" t="s">
        <v>1022</v>
      </c>
      <c r="G108" s="16" t="s">
        <v>1025</v>
      </c>
      <c r="H108" s="21" t="s">
        <v>179</v>
      </c>
      <c r="I108" s="18" t="str">
        <f>RIGHT(H108,4)</f>
        <v>- 24</v>
      </c>
      <c r="J108" s="22" t="s">
        <v>178</v>
      </c>
      <c r="K108" s="23">
        <v>229456053</v>
      </c>
    </row>
    <row r="109" spans="2:11" ht="15" customHeight="1" x14ac:dyDescent="0.2">
      <c r="B109" s="16"/>
      <c r="C109" s="16"/>
      <c r="D109" s="16"/>
      <c r="E109" s="16"/>
      <c r="F109" s="16"/>
      <c r="G109" s="16"/>
      <c r="H109" s="21" t="s">
        <v>180</v>
      </c>
      <c r="I109" s="18"/>
      <c r="J109" s="22" t="s">
        <v>181</v>
      </c>
      <c r="K109" s="23">
        <v>700000000</v>
      </c>
    </row>
    <row r="110" spans="2:11" ht="15" customHeight="1" x14ac:dyDescent="0.2">
      <c r="B110" s="16"/>
      <c r="C110" s="16"/>
      <c r="D110" s="16"/>
      <c r="E110" s="16"/>
      <c r="F110" s="16"/>
      <c r="G110" s="16"/>
      <c r="H110" s="21" t="s">
        <v>182</v>
      </c>
      <c r="I110" s="18"/>
      <c r="J110" s="22" t="s">
        <v>183</v>
      </c>
      <c r="K110" s="23">
        <v>700000000</v>
      </c>
    </row>
    <row r="111" spans="2:11" ht="15" customHeight="1" x14ac:dyDescent="0.2">
      <c r="B111" s="16" t="s">
        <v>1002</v>
      </c>
      <c r="C111" s="16" t="s">
        <v>1004</v>
      </c>
      <c r="D111" s="46" t="s">
        <v>1051</v>
      </c>
      <c r="E111" s="16" t="s">
        <v>1018</v>
      </c>
      <c r="F111" s="16" t="s">
        <v>1022</v>
      </c>
      <c r="G111" s="16" t="s">
        <v>1025</v>
      </c>
      <c r="H111" s="21" t="s">
        <v>184</v>
      </c>
      <c r="I111" s="18" t="str">
        <f>RIGHT(H111,4)</f>
        <v xml:space="preserve"> - 0</v>
      </c>
      <c r="J111" s="22" t="s">
        <v>185</v>
      </c>
      <c r="K111" s="23">
        <v>700000000</v>
      </c>
    </row>
    <row r="112" spans="2:11" ht="15" customHeight="1" x14ac:dyDescent="0.2">
      <c r="B112" s="16" t="s">
        <v>1002</v>
      </c>
      <c r="C112" s="16" t="s">
        <v>1004</v>
      </c>
      <c r="D112" s="46" t="s">
        <v>1051</v>
      </c>
      <c r="E112" s="16" t="s">
        <v>1018</v>
      </c>
      <c r="F112" s="16" t="s">
        <v>1022</v>
      </c>
      <c r="G112" s="16" t="s">
        <v>1025</v>
      </c>
      <c r="H112" s="21" t="s">
        <v>186</v>
      </c>
      <c r="I112" s="18" t="str">
        <f>RIGHT(H112,4)</f>
        <v>- 0P</v>
      </c>
      <c r="J112" s="22" t="s">
        <v>187</v>
      </c>
      <c r="K112" s="23">
        <v>0</v>
      </c>
    </row>
    <row r="113" spans="2:11" ht="15" customHeight="1" x14ac:dyDescent="0.2">
      <c r="B113" s="16" t="s">
        <v>1002</v>
      </c>
      <c r="C113" s="16" t="s">
        <v>1004</v>
      </c>
      <c r="D113" s="46" t="s">
        <v>1051</v>
      </c>
      <c r="E113" s="16" t="s">
        <v>1018</v>
      </c>
      <c r="F113" s="16" t="s">
        <v>1022</v>
      </c>
      <c r="G113" s="16" t="s">
        <v>1025</v>
      </c>
      <c r="H113" s="21" t="s">
        <v>188</v>
      </c>
      <c r="I113" s="18" t="str">
        <f>RIGHT(H113,4)</f>
        <v>- 0C</v>
      </c>
      <c r="J113" s="22" t="s">
        <v>189</v>
      </c>
      <c r="K113" s="23">
        <v>0</v>
      </c>
    </row>
    <row r="114" spans="2:11" ht="15" customHeight="1" x14ac:dyDescent="0.2">
      <c r="B114" s="16" t="s">
        <v>1002</v>
      </c>
      <c r="C114" s="16" t="s">
        <v>1004</v>
      </c>
      <c r="D114" s="46" t="s">
        <v>1051</v>
      </c>
      <c r="E114" s="16" t="s">
        <v>1018</v>
      </c>
      <c r="F114" s="16" t="s">
        <v>1022</v>
      </c>
      <c r="G114" s="16" t="s">
        <v>1025</v>
      </c>
      <c r="H114" s="21" t="s">
        <v>190</v>
      </c>
      <c r="I114" s="18" t="str">
        <f>RIGHT(H114,4)</f>
        <v>- 0V</v>
      </c>
      <c r="J114" s="22" t="s">
        <v>191</v>
      </c>
      <c r="K114" s="23">
        <v>0</v>
      </c>
    </row>
    <row r="115" spans="2:11" ht="15" customHeight="1" x14ac:dyDescent="0.2">
      <c r="B115" s="16" t="s">
        <v>1002</v>
      </c>
      <c r="C115" s="16" t="s">
        <v>1004</v>
      </c>
      <c r="D115" s="46" t="s">
        <v>1051</v>
      </c>
      <c r="E115" s="16" t="s">
        <v>1018</v>
      </c>
      <c r="F115" s="16" t="s">
        <v>1022</v>
      </c>
      <c r="G115" s="16" t="s">
        <v>1025</v>
      </c>
      <c r="H115" s="21" t="s">
        <v>192</v>
      </c>
      <c r="I115" s="18" t="str">
        <f>RIGHT(H115,4)</f>
        <v>- 0A</v>
      </c>
      <c r="J115" s="22" t="s">
        <v>193</v>
      </c>
      <c r="K115" s="23">
        <v>0</v>
      </c>
    </row>
    <row r="116" spans="2:11" s="13" customFormat="1" ht="15.75" customHeight="1" x14ac:dyDescent="0.25">
      <c r="B116" s="24"/>
      <c r="C116" s="24"/>
      <c r="D116" s="24"/>
      <c r="E116" s="24"/>
      <c r="F116" s="24"/>
      <c r="G116" s="24"/>
      <c r="H116" s="17" t="s">
        <v>194</v>
      </c>
      <c r="I116" s="18"/>
      <c r="J116" s="19" t="s">
        <v>195</v>
      </c>
      <c r="K116" s="20">
        <v>22746116429</v>
      </c>
    </row>
    <row r="117" spans="2:11" ht="30" customHeight="1" x14ac:dyDescent="0.2">
      <c r="B117" s="16"/>
      <c r="C117" s="16"/>
      <c r="D117" s="16"/>
      <c r="E117" s="16"/>
      <c r="F117" s="16"/>
      <c r="G117" s="16"/>
      <c r="H117" s="21" t="s">
        <v>196</v>
      </c>
      <c r="I117" s="18"/>
      <c r="J117" s="22" t="s">
        <v>197</v>
      </c>
      <c r="K117" s="23">
        <v>22746116429</v>
      </c>
    </row>
    <row r="118" spans="2:11" ht="30" customHeight="1" x14ac:dyDescent="0.2">
      <c r="B118" s="16"/>
      <c r="C118" s="16"/>
      <c r="D118" s="16"/>
      <c r="E118" s="16"/>
      <c r="F118" s="16"/>
      <c r="G118" s="16"/>
      <c r="H118" s="21" t="s">
        <v>198</v>
      </c>
      <c r="I118" s="18"/>
      <c r="J118" s="22" t="s">
        <v>199</v>
      </c>
      <c r="K118" s="23">
        <v>22746116429</v>
      </c>
    </row>
    <row r="119" spans="2:11" ht="15" customHeight="1" x14ac:dyDescent="0.2">
      <c r="B119" s="16"/>
      <c r="C119" s="16"/>
      <c r="D119" s="16"/>
      <c r="E119" s="16"/>
      <c r="F119" s="16"/>
      <c r="G119" s="16"/>
      <c r="H119" s="21" t="s">
        <v>200</v>
      </c>
      <c r="I119" s="18"/>
      <c r="J119" s="22" t="s">
        <v>201</v>
      </c>
      <c r="K119" s="23">
        <v>254003983</v>
      </c>
    </row>
    <row r="120" spans="2:11" ht="30" customHeight="1" x14ac:dyDescent="0.2">
      <c r="B120" s="16"/>
      <c r="C120" s="16"/>
      <c r="D120" s="16"/>
      <c r="E120" s="16"/>
      <c r="F120" s="16"/>
      <c r="G120" s="16"/>
      <c r="H120" s="21" t="s">
        <v>202</v>
      </c>
      <c r="I120" s="18"/>
      <c r="J120" s="22" t="s">
        <v>203</v>
      </c>
      <c r="K120" s="23">
        <v>173923988</v>
      </c>
    </row>
    <row r="121" spans="2:11" ht="30" customHeight="1" x14ac:dyDescent="0.2">
      <c r="B121" s="16" t="s">
        <v>1002</v>
      </c>
      <c r="C121" s="16" t="s">
        <v>1004</v>
      </c>
      <c r="D121" s="46" t="s">
        <v>1051</v>
      </c>
      <c r="E121" s="16" t="s">
        <v>1013</v>
      </c>
      <c r="F121" s="16" t="s">
        <v>1022</v>
      </c>
      <c r="G121" s="16" t="s">
        <v>1025</v>
      </c>
      <c r="H121" s="21" t="s">
        <v>204</v>
      </c>
      <c r="I121" s="18" t="str">
        <f>RIGHT(H121,4)</f>
        <v>- 20</v>
      </c>
      <c r="J121" s="22" t="s">
        <v>203</v>
      </c>
      <c r="K121" s="23">
        <v>165641894</v>
      </c>
    </row>
    <row r="122" spans="2:11" ht="30" customHeight="1" x14ac:dyDescent="0.2">
      <c r="B122" s="16" t="s">
        <v>1002</v>
      </c>
      <c r="C122" s="16" t="s">
        <v>1004</v>
      </c>
      <c r="D122" s="46" t="s">
        <v>1051</v>
      </c>
      <c r="E122" s="16" t="s">
        <v>1015</v>
      </c>
      <c r="F122" s="16" t="s">
        <v>1022</v>
      </c>
      <c r="G122" s="16" t="s">
        <v>1025</v>
      </c>
      <c r="H122" s="21" t="s">
        <v>205</v>
      </c>
      <c r="I122" s="18" t="str">
        <f>RIGHT(H122,4)</f>
        <v>- 60</v>
      </c>
      <c r="J122" s="22" t="s">
        <v>203</v>
      </c>
      <c r="K122" s="23">
        <v>8282094</v>
      </c>
    </row>
    <row r="123" spans="2:11" ht="30" customHeight="1" x14ac:dyDescent="0.2">
      <c r="B123" s="16"/>
      <c r="C123" s="16"/>
      <c r="D123" s="16"/>
      <c r="E123" s="16"/>
      <c r="F123" s="16"/>
      <c r="G123" s="16"/>
      <c r="H123" s="21" t="s">
        <v>206</v>
      </c>
      <c r="I123" s="18"/>
      <c r="J123" s="22" t="s">
        <v>207</v>
      </c>
      <c r="K123" s="23">
        <v>80079995</v>
      </c>
    </row>
    <row r="124" spans="2:11" ht="30" customHeight="1" x14ac:dyDescent="0.2">
      <c r="B124" s="16" t="s">
        <v>1002</v>
      </c>
      <c r="C124" s="16" t="s">
        <v>1004</v>
      </c>
      <c r="D124" s="46" t="s">
        <v>1051</v>
      </c>
      <c r="E124" s="16" t="s">
        <v>1013</v>
      </c>
      <c r="F124" s="16" t="s">
        <v>1022</v>
      </c>
      <c r="G124" s="16" t="s">
        <v>1025</v>
      </c>
      <c r="H124" s="21" t="s">
        <v>208</v>
      </c>
      <c r="I124" s="18" t="str">
        <f>RIGHT(H124,4)</f>
        <v>- 20</v>
      </c>
      <c r="J124" s="22" t="s">
        <v>207</v>
      </c>
      <c r="K124" s="23">
        <v>76266662</v>
      </c>
    </row>
    <row r="125" spans="2:11" ht="30" customHeight="1" x14ac:dyDescent="0.2">
      <c r="B125" s="16" t="s">
        <v>1002</v>
      </c>
      <c r="C125" s="16" t="s">
        <v>1004</v>
      </c>
      <c r="D125" s="46" t="s">
        <v>1051</v>
      </c>
      <c r="E125" s="16" t="s">
        <v>1015</v>
      </c>
      <c r="F125" s="16" t="s">
        <v>1022</v>
      </c>
      <c r="G125" s="16" t="s">
        <v>1025</v>
      </c>
      <c r="H125" s="21" t="s">
        <v>209</v>
      </c>
      <c r="I125" s="18" t="str">
        <f>RIGHT(H125,4)</f>
        <v>- 60</v>
      </c>
      <c r="J125" s="22" t="s">
        <v>207</v>
      </c>
      <c r="K125" s="23">
        <v>3813333</v>
      </c>
    </row>
    <row r="126" spans="2:11" ht="15" customHeight="1" x14ac:dyDescent="0.2">
      <c r="B126" s="16"/>
      <c r="C126" s="16"/>
      <c r="D126" s="16"/>
      <c r="E126" s="16"/>
      <c r="F126" s="16"/>
      <c r="G126" s="16"/>
      <c r="H126" s="21" t="s">
        <v>210</v>
      </c>
      <c r="I126" s="18"/>
      <c r="J126" s="22" t="s">
        <v>211</v>
      </c>
      <c r="K126" s="23">
        <v>22492112446</v>
      </c>
    </row>
    <row r="127" spans="2:11" ht="15" customHeight="1" x14ac:dyDescent="0.2">
      <c r="B127" s="16"/>
      <c r="C127" s="16"/>
      <c r="D127" s="16"/>
      <c r="E127" s="16"/>
      <c r="F127" s="16"/>
      <c r="G127" s="16"/>
      <c r="H127" s="21" t="s">
        <v>212</v>
      </c>
      <c r="I127" s="18"/>
      <c r="J127" s="22" t="s">
        <v>213</v>
      </c>
      <c r="K127" s="23">
        <v>22492112446</v>
      </c>
    </row>
    <row r="128" spans="2:11" ht="30" customHeight="1" x14ac:dyDescent="0.2">
      <c r="B128" s="16"/>
      <c r="C128" s="16"/>
      <c r="D128" s="16"/>
      <c r="E128" s="16"/>
      <c r="F128" s="16"/>
      <c r="G128" s="16"/>
      <c r="H128" s="21" t="s">
        <v>214</v>
      </c>
      <c r="I128" s="18"/>
      <c r="J128" s="22" t="s">
        <v>215</v>
      </c>
      <c r="K128" s="23">
        <v>15138474925</v>
      </c>
    </row>
    <row r="129" spans="2:11" ht="30" customHeight="1" x14ac:dyDescent="0.2">
      <c r="B129" s="16" t="s">
        <v>1002</v>
      </c>
      <c r="C129" s="16" t="s">
        <v>1004</v>
      </c>
      <c r="D129" s="46" t="s">
        <v>1051</v>
      </c>
      <c r="E129" s="16" t="s">
        <v>1013</v>
      </c>
      <c r="F129" s="16" t="s">
        <v>1022</v>
      </c>
      <c r="G129" s="16" t="s">
        <v>1025</v>
      </c>
      <c r="H129" s="21" t="s">
        <v>216</v>
      </c>
      <c r="I129" s="18" t="str">
        <f>RIGHT(H129,4)</f>
        <v>- 20</v>
      </c>
      <c r="J129" s="22" t="s">
        <v>215</v>
      </c>
      <c r="K129" s="23">
        <v>14417595167</v>
      </c>
    </row>
    <row r="130" spans="2:11" ht="30" customHeight="1" x14ac:dyDescent="0.2">
      <c r="B130" s="16" t="s">
        <v>1002</v>
      </c>
      <c r="C130" s="16" t="s">
        <v>1004</v>
      </c>
      <c r="D130" s="46" t="s">
        <v>1051</v>
      </c>
      <c r="E130" s="16" t="s">
        <v>1015</v>
      </c>
      <c r="F130" s="16" t="s">
        <v>1022</v>
      </c>
      <c r="G130" s="16" t="s">
        <v>1025</v>
      </c>
      <c r="H130" s="21" t="s">
        <v>217</v>
      </c>
      <c r="I130" s="18" t="str">
        <f>RIGHT(H130,4)</f>
        <v>- 60</v>
      </c>
      <c r="J130" s="22" t="s">
        <v>215</v>
      </c>
      <c r="K130" s="23">
        <v>720879758</v>
      </c>
    </row>
    <row r="131" spans="2:11" ht="30" customHeight="1" x14ac:dyDescent="0.2">
      <c r="B131" s="16"/>
      <c r="C131" s="16"/>
      <c r="D131" s="16"/>
      <c r="E131" s="16"/>
      <c r="F131" s="16"/>
      <c r="G131" s="16"/>
      <c r="H131" s="21" t="s">
        <v>218</v>
      </c>
      <c r="I131" s="18"/>
      <c r="J131" s="22" t="s">
        <v>219</v>
      </c>
      <c r="K131" s="23">
        <v>7353637521</v>
      </c>
    </row>
    <row r="132" spans="2:11" ht="30" customHeight="1" x14ac:dyDescent="0.2">
      <c r="B132" s="16"/>
      <c r="C132" s="16"/>
      <c r="D132" s="16"/>
      <c r="E132" s="16"/>
      <c r="F132" s="16"/>
      <c r="G132" s="16"/>
      <c r="H132" s="21" t="s">
        <v>220</v>
      </c>
      <c r="I132" s="18"/>
      <c r="J132" s="22" t="s">
        <v>221</v>
      </c>
      <c r="K132" s="23">
        <v>7353637521</v>
      </c>
    </row>
    <row r="133" spans="2:11" ht="30" customHeight="1" x14ac:dyDescent="0.2">
      <c r="B133" s="16" t="s">
        <v>1002</v>
      </c>
      <c r="C133" s="16" t="s">
        <v>1004</v>
      </c>
      <c r="D133" s="46" t="s">
        <v>1051</v>
      </c>
      <c r="E133" s="16" t="s">
        <v>1013</v>
      </c>
      <c r="F133" s="16" t="s">
        <v>1022</v>
      </c>
      <c r="G133" s="16" t="s">
        <v>1025</v>
      </c>
      <c r="H133" s="21" t="s">
        <v>222</v>
      </c>
      <c r="I133" s="18" t="str">
        <f>RIGHT(H133,4)</f>
        <v>- 20</v>
      </c>
      <c r="J133" s="22" t="s">
        <v>221</v>
      </c>
      <c r="K133" s="23">
        <v>7003464306</v>
      </c>
    </row>
    <row r="134" spans="2:11" ht="30" customHeight="1" x14ac:dyDescent="0.2">
      <c r="B134" s="16" t="s">
        <v>1002</v>
      </c>
      <c r="C134" s="16" t="s">
        <v>1004</v>
      </c>
      <c r="D134" s="46" t="s">
        <v>1051</v>
      </c>
      <c r="E134" s="16" t="s">
        <v>1015</v>
      </c>
      <c r="F134" s="16" t="s">
        <v>1022</v>
      </c>
      <c r="G134" s="16" t="s">
        <v>1025</v>
      </c>
      <c r="H134" s="21" t="s">
        <v>223</v>
      </c>
      <c r="I134" s="18" t="str">
        <f>RIGHT(H134,4)</f>
        <v>- 60</v>
      </c>
      <c r="J134" s="22" t="s">
        <v>221</v>
      </c>
      <c r="K134" s="23">
        <v>350173215</v>
      </c>
    </row>
    <row r="135" spans="2:11" s="13" customFormat="1" ht="15.75" customHeight="1" x14ac:dyDescent="0.25">
      <c r="B135" s="24"/>
      <c r="C135" s="24"/>
      <c r="D135" s="24"/>
      <c r="E135" s="24"/>
      <c r="F135" s="24"/>
      <c r="G135" s="24"/>
      <c r="H135" s="17" t="s">
        <v>224</v>
      </c>
      <c r="I135" s="18"/>
      <c r="J135" s="19" t="s">
        <v>225</v>
      </c>
      <c r="K135" s="20">
        <v>2450000000</v>
      </c>
    </row>
    <row r="136" spans="2:11" s="13" customFormat="1" ht="15.75" customHeight="1" x14ac:dyDescent="0.25">
      <c r="B136" s="24"/>
      <c r="C136" s="24"/>
      <c r="D136" s="24"/>
      <c r="E136" s="24"/>
      <c r="F136" s="24"/>
      <c r="G136" s="24"/>
      <c r="H136" s="17" t="s">
        <v>226</v>
      </c>
      <c r="I136" s="18"/>
      <c r="J136" s="19" t="s">
        <v>227</v>
      </c>
      <c r="K136" s="20">
        <v>0</v>
      </c>
    </row>
    <row r="137" spans="2:11" s="13" customFormat="1" ht="15.75" customHeight="1" x14ac:dyDescent="0.25">
      <c r="B137" s="24"/>
      <c r="C137" s="24"/>
      <c r="D137" s="24"/>
      <c r="E137" s="24"/>
      <c r="F137" s="24"/>
      <c r="G137" s="24"/>
      <c r="H137" s="17" t="s">
        <v>775</v>
      </c>
      <c r="I137" s="18"/>
      <c r="J137" s="19" t="s">
        <v>229</v>
      </c>
      <c r="K137" s="23">
        <v>0</v>
      </c>
    </row>
    <row r="138" spans="2:11" ht="15" customHeight="1" x14ac:dyDescent="0.2">
      <c r="B138" s="16" t="s">
        <v>1002</v>
      </c>
      <c r="C138" s="16" t="s">
        <v>1004</v>
      </c>
      <c r="D138" s="46" t="s">
        <v>1051</v>
      </c>
      <c r="E138" s="16" t="s">
        <v>1014</v>
      </c>
      <c r="F138" s="16" t="s">
        <v>1023</v>
      </c>
      <c r="G138" s="16" t="s">
        <v>1026</v>
      </c>
      <c r="H138" s="21" t="s">
        <v>228</v>
      </c>
      <c r="I138" s="18" t="str">
        <f>RIGHT(H138,4)</f>
        <v>- 20</v>
      </c>
      <c r="J138" s="22" t="s">
        <v>229</v>
      </c>
      <c r="K138" s="23">
        <v>0</v>
      </c>
    </row>
    <row r="139" spans="2:11" s="13" customFormat="1" ht="15.75" customHeight="1" x14ac:dyDescent="0.25">
      <c r="B139" s="24"/>
      <c r="C139" s="24"/>
      <c r="D139" s="24"/>
      <c r="E139" s="24"/>
      <c r="F139" s="24"/>
      <c r="G139" s="24"/>
      <c r="H139" s="17" t="s">
        <v>230</v>
      </c>
      <c r="I139" s="18"/>
      <c r="J139" s="19" t="s">
        <v>231</v>
      </c>
      <c r="K139" s="20">
        <v>250000000</v>
      </c>
    </row>
    <row r="140" spans="2:11" ht="15" customHeight="1" x14ac:dyDescent="0.2">
      <c r="B140" s="16"/>
      <c r="C140" s="16"/>
      <c r="D140" s="16"/>
      <c r="E140" s="16"/>
      <c r="F140" s="16"/>
      <c r="G140" s="16"/>
      <c r="H140" s="21" t="s">
        <v>232</v>
      </c>
      <c r="I140" s="18"/>
      <c r="J140" s="22" t="s">
        <v>233</v>
      </c>
      <c r="K140" s="23">
        <v>250000000</v>
      </c>
    </row>
    <row r="141" spans="2:11" ht="15" customHeight="1" x14ac:dyDescent="0.2">
      <c r="B141" s="16" t="s">
        <v>1002</v>
      </c>
      <c r="C141" s="16" t="s">
        <v>1004</v>
      </c>
      <c r="D141" s="46" t="s">
        <v>1051</v>
      </c>
      <c r="E141" s="16" t="s">
        <v>1014</v>
      </c>
      <c r="F141" s="16" t="s">
        <v>1023</v>
      </c>
      <c r="G141" s="16" t="s">
        <v>1027</v>
      </c>
      <c r="H141" s="21" t="s">
        <v>234</v>
      </c>
      <c r="I141" s="18" t="str">
        <f>RIGHT(H141,4)</f>
        <v>- 20</v>
      </c>
      <c r="J141" s="22" t="s">
        <v>235</v>
      </c>
      <c r="K141" s="23">
        <v>0</v>
      </c>
    </row>
    <row r="142" spans="2:11" ht="15" customHeight="1" x14ac:dyDescent="0.2">
      <c r="B142" s="16" t="s">
        <v>1002</v>
      </c>
      <c r="C142" s="16" t="s">
        <v>1004</v>
      </c>
      <c r="D142" s="46" t="s">
        <v>1051</v>
      </c>
      <c r="E142" s="16" t="s">
        <v>1014</v>
      </c>
      <c r="F142" s="16" t="s">
        <v>1023</v>
      </c>
      <c r="G142" s="16" t="s">
        <v>1027</v>
      </c>
      <c r="H142" s="21" t="s">
        <v>236</v>
      </c>
      <c r="I142" s="18" t="str">
        <f>RIGHT(H142,4)</f>
        <v>- 20</v>
      </c>
      <c r="J142" s="22" t="s">
        <v>237</v>
      </c>
      <c r="K142" s="23">
        <v>250000000</v>
      </c>
    </row>
    <row r="143" spans="2:11" s="13" customFormat="1" ht="15.75" customHeight="1" x14ac:dyDescent="0.25">
      <c r="B143" s="24"/>
      <c r="C143" s="24"/>
      <c r="D143" s="24"/>
      <c r="E143" s="24"/>
      <c r="F143" s="24"/>
      <c r="G143" s="24"/>
      <c r="H143" s="17" t="s">
        <v>238</v>
      </c>
      <c r="I143" s="18"/>
      <c r="J143" s="19" t="s">
        <v>239</v>
      </c>
      <c r="K143" s="20">
        <v>2200000000</v>
      </c>
    </row>
    <row r="144" spans="2:11" s="13" customFormat="1" ht="15.75" customHeight="1" x14ac:dyDescent="0.25">
      <c r="B144" s="24"/>
      <c r="C144" s="24"/>
      <c r="D144" s="24"/>
      <c r="E144" s="24"/>
      <c r="F144" s="24"/>
      <c r="G144" s="24"/>
      <c r="H144" s="17" t="s">
        <v>240</v>
      </c>
      <c r="I144" s="18"/>
      <c r="J144" s="19" t="s">
        <v>241</v>
      </c>
      <c r="K144" s="20">
        <v>2200000000</v>
      </c>
    </row>
    <row r="145" spans="2:11" ht="15" customHeight="1" x14ac:dyDescent="0.2">
      <c r="B145" s="16" t="s">
        <v>1002</v>
      </c>
      <c r="C145" s="16" t="s">
        <v>1004</v>
      </c>
      <c r="D145" s="46" t="s">
        <v>1051</v>
      </c>
      <c r="E145" s="16" t="s">
        <v>1016</v>
      </c>
      <c r="F145" s="16" t="s">
        <v>1023</v>
      </c>
      <c r="G145" s="16" t="s">
        <v>1028</v>
      </c>
      <c r="H145" s="21" t="s">
        <v>243</v>
      </c>
      <c r="I145" s="18" t="str">
        <f t="shared" ref="I145:I161" si="4">RIGHT(H145,4)</f>
        <v xml:space="preserve"> 04F</v>
      </c>
      <c r="J145" s="22" t="s">
        <v>241</v>
      </c>
      <c r="K145" s="23">
        <v>0</v>
      </c>
    </row>
    <row r="146" spans="2:11" ht="15" customHeight="1" x14ac:dyDescent="0.2">
      <c r="B146" s="16" t="s">
        <v>1002</v>
      </c>
      <c r="C146" s="16" t="s">
        <v>1004</v>
      </c>
      <c r="D146" s="46" t="s">
        <v>1051</v>
      </c>
      <c r="E146" s="16" t="s">
        <v>1016</v>
      </c>
      <c r="F146" s="16" t="s">
        <v>1023</v>
      </c>
      <c r="G146" s="16" t="s">
        <v>1028</v>
      </c>
      <c r="H146" s="21" t="s">
        <v>244</v>
      </c>
      <c r="I146" s="18" t="str">
        <f t="shared" si="4"/>
        <v xml:space="preserve"> 05F</v>
      </c>
      <c r="J146" s="22" t="s">
        <v>241</v>
      </c>
      <c r="K146" s="23">
        <v>0</v>
      </c>
    </row>
    <row r="147" spans="2:11" ht="15" customHeight="1" x14ac:dyDescent="0.2">
      <c r="B147" s="16" t="s">
        <v>1002</v>
      </c>
      <c r="C147" s="16" t="s">
        <v>1004</v>
      </c>
      <c r="D147" s="46" t="s">
        <v>1051</v>
      </c>
      <c r="E147" s="16" t="s">
        <v>1016</v>
      </c>
      <c r="F147" s="16" t="s">
        <v>1023</v>
      </c>
      <c r="G147" s="16" t="s">
        <v>1028</v>
      </c>
      <c r="H147" s="21" t="s">
        <v>245</v>
      </c>
      <c r="I147" s="18" t="str">
        <f t="shared" si="4"/>
        <v xml:space="preserve"> 08F</v>
      </c>
      <c r="J147" s="22" t="s">
        <v>241</v>
      </c>
      <c r="K147" s="23">
        <v>0</v>
      </c>
    </row>
    <row r="148" spans="2:11" ht="15" customHeight="1" x14ac:dyDescent="0.2">
      <c r="B148" s="16" t="s">
        <v>1002</v>
      </c>
      <c r="C148" s="16" t="s">
        <v>1004</v>
      </c>
      <c r="D148" s="46" t="s">
        <v>1051</v>
      </c>
      <c r="E148" s="16" t="s">
        <v>1015</v>
      </c>
      <c r="F148" s="16" t="s">
        <v>1023</v>
      </c>
      <c r="G148" s="16" t="s">
        <v>1028</v>
      </c>
      <c r="H148" s="21" t="s">
        <v>246</v>
      </c>
      <c r="I148" s="18" t="str">
        <f t="shared" si="4"/>
        <v>100I</v>
      </c>
      <c r="J148" s="22" t="s">
        <v>241</v>
      </c>
      <c r="K148" s="23">
        <v>0</v>
      </c>
    </row>
    <row r="149" spans="2:11" ht="15" customHeight="1" x14ac:dyDescent="0.2">
      <c r="B149" s="16" t="s">
        <v>1002</v>
      </c>
      <c r="C149" s="16" t="s">
        <v>1004</v>
      </c>
      <c r="D149" s="46" t="s">
        <v>1051</v>
      </c>
      <c r="E149" s="16" t="s">
        <v>1019</v>
      </c>
      <c r="F149" s="16" t="s">
        <v>1023</v>
      </c>
      <c r="G149" s="16" t="s">
        <v>1028</v>
      </c>
      <c r="H149" s="21" t="s">
        <v>247</v>
      </c>
      <c r="I149" s="18" t="str">
        <f t="shared" si="4"/>
        <v>125F</v>
      </c>
      <c r="J149" s="22" t="s">
        <v>241</v>
      </c>
      <c r="K149" s="23">
        <v>0</v>
      </c>
    </row>
    <row r="150" spans="2:11" ht="15" customHeight="1" x14ac:dyDescent="0.2">
      <c r="B150" s="16" t="s">
        <v>1002</v>
      </c>
      <c r="C150" s="16" t="s">
        <v>1004</v>
      </c>
      <c r="D150" s="46" t="s">
        <v>1051</v>
      </c>
      <c r="E150" s="16" t="s">
        <v>1015</v>
      </c>
      <c r="F150" s="16" t="s">
        <v>1023</v>
      </c>
      <c r="G150" s="16" t="s">
        <v>1028</v>
      </c>
      <c r="H150" s="21" t="s">
        <v>248</v>
      </c>
      <c r="I150" s="18" t="str">
        <f t="shared" si="4"/>
        <v xml:space="preserve"> 13F</v>
      </c>
      <c r="J150" s="22" t="s">
        <v>241</v>
      </c>
      <c r="K150" s="23">
        <v>0</v>
      </c>
    </row>
    <row r="151" spans="2:11" ht="15" customHeight="1" x14ac:dyDescent="0.2">
      <c r="B151" s="16" t="s">
        <v>1002</v>
      </c>
      <c r="C151" s="16" t="s">
        <v>1004</v>
      </c>
      <c r="D151" s="46" t="s">
        <v>1051</v>
      </c>
      <c r="E151" s="16" t="s">
        <v>1015</v>
      </c>
      <c r="F151" s="16" t="s">
        <v>1023</v>
      </c>
      <c r="G151" s="16" t="s">
        <v>1028</v>
      </c>
      <c r="H151" s="21" t="s">
        <v>249</v>
      </c>
      <c r="I151" s="18" t="str">
        <f t="shared" si="4"/>
        <v>152F</v>
      </c>
      <c r="J151" s="22" t="s">
        <v>241</v>
      </c>
      <c r="K151" s="23">
        <v>0</v>
      </c>
    </row>
    <row r="152" spans="2:11" ht="15" customHeight="1" x14ac:dyDescent="0.2">
      <c r="B152" s="16" t="s">
        <v>1002</v>
      </c>
      <c r="C152" s="16" t="s">
        <v>1004</v>
      </c>
      <c r="D152" s="46" t="s">
        <v>1051</v>
      </c>
      <c r="E152" s="16" t="s">
        <v>1015</v>
      </c>
      <c r="F152" s="16" t="s">
        <v>1023</v>
      </c>
      <c r="G152" s="16" t="s">
        <v>1028</v>
      </c>
      <c r="H152" s="21" t="s">
        <v>250</v>
      </c>
      <c r="I152" s="18" t="str">
        <f t="shared" si="4"/>
        <v xml:space="preserve"> 17F</v>
      </c>
      <c r="J152" s="22" t="s">
        <v>241</v>
      </c>
      <c r="K152" s="23">
        <v>0</v>
      </c>
    </row>
    <row r="153" spans="2:11" ht="15" customHeight="1" x14ac:dyDescent="0.2">
      <c r="B153" s="16" t="s">
        <v>1002</v>
      </c>
      <c r="C153" s="16" t="s">
        <v>1004</v>
      </c>
      <c r="D153" s="46" t="s">
        <v>1051</v>
      </c>
      <c r="E153" s="16" t="s">
        <v>1015</v>
      </c>
      <c r="F153" s="16" t="s">
        <v>1023</v>
      </c>
      <c r="G153" s="16" t="s">
        <v>1028</v>
      </c>
      <c r="H153" s="21" t="s">
        <v>251</v>
      </c>
      <c r="I153" s="18" t="str">
        <f t="shared" si="4"/>
        <v xml:space="preserve"> 18F</v>
      </c>
      <c r="J153" s="22" t="s">
        <v>241</v>
      </c>
      <c r="K153" s="23">
        <v>0</v>
      </c>
    </row>
    <row r="154" spans="2:11" ht="15" customHeight="1" x14ac:dyDescent="0.2">
      <c r="B154" s="16" t="s">
        <v>1002</v>
      </c>
      <c r="C154" s="16" t="s">
        <v>1004</v>
      </c>
      <c r="D154" s="46" t="s">
        <v>1051</v>
      </c>
      <c r="E154" s="16" t="s">
        <v>1020</v>
      </c>
      <c r="F154" s="16" t="s">
        <v>1023</v>
      </c>
      <c r="G154" s="16" t="s">
        <v>1028</v>
      </c>
      <c r="H154" s="21" t="s">
        <v>252</v>
      </c>
      <c r="I154" s="18" t="str">
        <f t="shared" si="4"/>
        <v>191F</v>
      </c>
      <c r="J154" s="22" t="s">
        <v>241</v>
      </c>
      <c r="K154" s="23">
        <v>0</v>
      </c>
    </row>
    <row r="155" spans="2:11" ht="15" customHeight="1" x14ac:dyDescent="0.2">
      <c r="B155" s="16" t="s">
        <v>1002</v>
      </c>
      <c r="C155" s="16" t="s">
        <v>1004</v>
      </c>
      <c r="D155" s="46" t="s">
        <v>1051</v>
      </c>
      <c r="E155" s="16" t="s">
        <v>1020</v>
      </c>
      <c r="F155" s="16" t="s">
        <v>1023</v>
      </c>
      <c r="G155" s="16" t="s">
        <v>1028</v>
      </c>
      <c r="H155" s="21" t="s">
        <v>253</v>
      </c>
      <c r="I155" s="18" t="str">
        <f t="shared" si="4"/>
        <v>193F</v>
      </c>
      <c r="J155" s="22" t="s">
        <v>241</v>
      </c>
      <c r="K155" s="23">
        <v>0</v>
      </c>
    </row>
    <row r="156" spans="2:11" ht="15" customHeight="1" x14ac:dyDescent="0.2">
      <c r="B156" s="16" t="s">
        <v>1002</v>
      </c>
      <c r="C156" s="16" t="s">
        <v>1004</v>
      </c>
      <c r="D156" s="46" t="s">
        <v>1051</v>
      </c>
      <c r="E156" s="16" t="s">
        <v>1014</v>
      </c>
      <c r="F156" s="16" t="s">
        <v>1023</v>
      </c>
      <c r="G156" s="16" t="s">
        <v>1028</v>
      </c>
      <c r="H156" s="21" t="s">
        <v>254</v>
      </c>
      <c r="I156" s="18" t="str">
        <f t="shared" si="4"/>
        <v xml:space="preserve"> 20F</v>
      </c>
      <c r="J156" s="22" t="s">
        <v>241</v>
      </c>
      <c r="K156" s="23">
        <v>2000000000</v>
      </c>
    </row>
    <row r="157" spans="2:11" ht="15" customHeight="1" x14ac:dyDescent="0.2">
      <c r="B157" s="16" t="s">
        <v>1002</v>
      </c>
      <c r="C157" s="16" t="s">
        <v>1004</v>
      </c>
      <c r="D157" s="46" t="s">
        <v>1051</v>
      </c>
      <c r="E157" s="16" t="s">
        <v>1015</v>
      </c>
      <c r="F157" s="16" t="s">
        <v>1023</v>
      </c>
      <c r="G157" s="16" t="s">
        <v>1028</v>
      </c>
      <c r="H157" s="21" t="s">
        <v>255</v>
      </c>
      <c r="I157" s="18" t="str">
        <f t="shared" si="4"/>
        <v xml:space="preserve"> 23F</v>
      </c>
      <c r="J157" s="22" t="s">
        <v>241</v>
      </c>
      <c r="K157" s="23">
        <v>200000000</v>
      </c>
    </row>
    <row r="158" spans="2:11" ht="15" customHeight="1" x14ac:dyDescent="0.2">
      <c r="B158" s="16" t="s">
        <v>1002</v>
      </c>
      <c r="C158" s="16" t="s">
        <v>1004</v>
      </c>
      <c r="D158" s="46" t="s">
        <v>1051</v>
      </c>
      <c r="E158" s="16" t="s">
        <v>1015</v>
      </c>
      <c r="F158" s="16" t="s">
        <v>1023</v>
      </c>
      <c r="G158" s="16" t="s">
        <v>1028</v>
      </c>
      <c r="H158" s="21" t="s">
        <v>256</v>
      </c>
      <c r="I158" s="18" t="str">
        <f t="shared" si="4"/>
        <v xml:space="preserve"> 58F</v>
      </c>
      <c r="J158" s="22" t="s">
        <v>241</v>
      </c>
      <c r="K158" s="23">
        <v>0</v>
      </c>
    </row>
    <row r="159" spans="2:11" ht="15" customHeight="1" x14ac:dyDescent="0.2">
      <c r="B159" s="16" t="s">
        <v>1002</v>
      </c>
      <c r="C159" s="16" t="s">
        <v>1004</v>
      </c>
      <c r="D159" s="46" t="s">
        <v>1051</v>
      </c>
      <c r="E159" s="16" t="s">
        <v>1015</v>
      </c>
      <c r="F159" s="16" t="s">
        <v>1023</v>
      </c>
      <c r="G159" s="16" t="s">
        <v>1028</v>
      </c>
      <c r="H159" s="21" t="s">
        <v>257</v>
      </c>
      <c r="I159" s="18" t="str">
        <f t="shared" si="4"/>
        <v xml:space="preserve"> 60F</v>
      </c>
      <c r="J159" s="22" t="s">
        <v>241</v>
      </c>
      <c r="K159" s="23">
        <v>0</v>
      </c>
    </row>
    <row r="160" spans="2:11" ht="15" customHeight="1" x14ac:dyDescent="0.2">
      <c r="B160" s="16" t="s">
        <v>1002</v>
      </c>
      <c r="C160" s="16" t="s">
        <v>1004</v>
      </c>
      <c r="D160" s="46" t="s">
        <v>1051</v>
      </c>
      <c r="E160" s="16" t="s">
        <v>1015</v>
      </c>
      <c r="F160" s="16" t="s">
        <v>1023</v>
      </c>
      <c r="G160" s="16" t="s">
        <v>1028</v>
      </c>
      <c r="H160" s="21" t="s">
        <v>258</v>
      </c>
      <c r="I160" s="18" t="str">
        <f t="shared" si="4"/>
        <v xml:space="preserve"> 61F</v>
      </c>
      <c r="J160" s="22" t="s">
        <v>241</v>
      </c>
      <c r="K160" s="23">
        <v>0</v>
      </c>
    </row>
    <row r="161" spans="2:11" ht="15" customHeight="1" x14ac:dyDescent="0.2">
      <c r="B161" s="16" t="s">
        <v>1002</v>
      </c>
      <c r="C161" s="16" t="s">
        <v>1004</v>
      </c>
      <c r="D161" s="46" t="s">
        <v>1051</v>
      </c>
      <c r="E161" s="16" t="s">
        <v>1017</v>
      </c>
      <c r="F161" s="16" t="s">
        <v>1023</v>
      </c>
      <c r="G161" s="16" t="s">
        <v>1028</v>
      </c>
      <c r="H161" s="21" t="s">
        <v>259</v>
      </c>
      <c r="I161" s="18" t="str">
        <f t="shared" si="4"/>
        <v xml:space="preserve"> 99F</v>
      </c>
      <c r="J161" s="22" t="s">
        <v>241</v>
      </c>
      <c r="K161" s="23">
        <v>0</v>
      </c>
    </row>
    <row r="162" spans="2:11" s="13" customFormat="1" ht="15.75" customHeight="1" x14ac:dyDescent="0.25">
      <c r="B162" s="24"/>
      <c r="C162" s="24"/>
      <c r="D162" s="24"/>
      <c r="E162" s="24"/>
      <c r="F162" s="24"/>
      <c r="G162" s="24"/>
      <c r="H162" s="17" t="s">
        <v>260</v>
      </c>
      <c r="I162" s="18"/>
      <c r="J162" s="19" t="s">
        <v>261</v>
      </c>
      <c r="K162" s="20">
        <v>0</v>
      </c>
    </row>
    <row r="163" spans="2:11" s="13" customFormat="1" ht="15.75" customHeight="1" x14ac:dyDescent="0.25">
      <c r="B163" s="24"/>
      <c r="C163" s="24"/>
      <c r="D163" s="24"/>
      <c r="E163" s="24"/>
      <c r="F163" s="24"/>
      <c r="G163" s="24"/>
      <c r="H163" s="17" t="s">
        <v>262</v>
      </c>
      <c r="I163" s="18"/>
      <c r="J163" s="19" t="s">
        <v>263</v>
      </c>
      <c r="K163" s="20">
        <v>0</v>
      </c>
    </row>
    <row r="164" spans="2:11" ht="15" customHeight="1" x14ac:dyDescent="0.2">
      <c r="B164" s="16" t="s">
        <v>1002</v>
      </c>
      <c r="C164" s="16" t="s">
        <v>1004</v>
      </c>
      <c r="D164" s="46" t="s">
        <v>1051</v>
      </c>
      <c r="E164" s="16" t="s">
        <v>1019</v>
      </c>
      <c r="F164" s="16" t="s">
        <v>1023</v>
      </c>
      <c r="G164" s="16" t="s">
        <v>1019</v>
      </c>
      <c r="H164" s="21" t="s">
        <v>264</v>
      </c>
      <c r="I164" s="18" t="str">
        <f>RIGHT(H164,4)</f>
        <v xml:space="preserve"> 125</v>
      </c>
      <c r="J164" s="22" t="s">
        <v>265</v>
      </c>
      <c r="K164" s="23">
        <v>0</v>
      </c>
    </row>
    <row r="165" spans="2:11" s="13" customFormat="1" ht="15.75" customHeight="1" x14ac:dyDescent="0.25">
      <c r="B165" s="24"/>
      <c r="C165" s="24"/>
      <c r="D165" s="24"/>
      <c r="E165" s="24"/>
      <c r="F165" s="24"/>
      <c r="G165" s="24"/>
      <c r="H165" s="17" t="s">
        <v>266</v>
      </c>
      <c r="I165" s="18"/>
      <c r="J165" s="19" t="s">
        <v>267</v>
      </c>
      <c r="K165" s="20"/>
    </row>
    <row r="166" spans="2:11" s="13" customFormat="1" ht="15.75" customHeight="1" x14ac:dyDescent="0.25">
      <c r="B166" s="24"/>
      <c r="C166" s="24"/>
      <c r="D166" s="24"/>
      <c r="E166" s="24"/>
      <c r="F166" s="24"/>
      <c r="G166" s="24"/>
      <c r="H166" s="17" t="s">
        <v>268</v>
      </c>
      <c r="I166" s="18"/>
      <c r="J166" s="19" t="s">
        <v>269</v>
      </c>
      <c r="K166" s="20"/>
    </row>
    <row r="167" spans="2:11" ht="15" customHeight="1" x14ac:dyDescent="0.2">
      <c r="B167" s="16" t="s">
        <v>1002</v>
      </c>
      <c r="C167" s="16" t="s">
        <v>1004</v>
      </c>
      <c r="D167" s="46" t="s">
        <v>1051</v>
      </c>
      <c r="E167" s="16" t="s">
        <v>1018</v>
      </c>
      <c r="F167" s="16" t="s">
        <v>1023</v>
      </c>
      <c r="G167" s="16" t="s">
        <v>1029</v>
      </c>
      <c r="H167" s="21" t="s">
        <v>691</v>
      </c>
      <c r="I167" s="18" t="str">
        <f t="shared" ref="I167:I188" si="5">RIGHT(H167,4)</f>
        <v xml:space="preserve"> 0RB</v>
      </c>
      <c r="J167" s="22" t="s">
        <v>269</v>
      </c>
      <c r="K167" s="23"/>
    </row>
    <row r="168" spans="2:11" ht="15" customHeight="1" x14ac:dyDescent="0.2">
      <c r="B168" s="16" t="s">
        <v>1002</v>
      </c>
      <c r="C168" s="16" t="s">
        <v>1004</v>
      </c>
      <c r="D168" s="46" t="s">
        <v>1051</v>
      </c>
      <c r="E168" s="16" t="s">
        <v>1016</v>
      </c>
      <c r="F168" s="16" t="s">
        <v>1023</v>
      </c>
      <c r="G168" s="16" t="s">
        <v>1029</v>
      </c>
      <c r="H168" s="21" t="s">
        <v>692</v>
      </c>
      <c r="I168" s="18" t="str">
        <f t="shared" si="5"/>
        <v>04DR</v>
      </c>
      <c r="J168" s="22" t="s">
        <v>269</v>
      </c>
      <c r="K168" s="23"/>
    </row>
    <row r="169" spans="2:11" ht="15" customHeight="1" x14ac:dyDescent="0.2">
      <c r="B169" s="16" t="s">
        <v>1002</v>
      </c>
      <c r="C169" s="16" t="s">
        <v>1004</v>
      </c>
      <c r="D169" s="46" t="s">
        <v>1051</v>
      </c>
      <c r="E169" s="16" t="s">
        <v>1020</v>
      </c>
      <c r="F169" s="16" t="s">
        <v>1023</v>
      </c>
      <c r="G169" s="16" t="s">
        <v>1029</v>
      </c>
      <c r="H169" s="21" t="s">
        <v>693</v>
      </c>
      <c r="I169" s="18" t="str">
        <f t="shared" si="5"/>
        <v>191R</v>
      </c>
      <c r="J169" s="22" t="s">
        <v>269</v>
      </c>
      <c r="K169" s="23"/>
    </row>
    <row r="170" spans="2:11" ht="15" customHeight="1" x14ac:dyDescent="0.2">
      <c r="B170" s="16" t="s">
        <v>1002</v>
      </c>
      <c r="C170" s="16" t="s">
        <v>1004</v>
      </c>
      <c r="D170" s="46" t="s">
        <v>1051</v>
      </c>
      <c r="E170" s="16" t="s">
        <v>1014</v>
      </c>
      <c r="F170" s="16" t="s">
        <v>1023</v>
      </c>
      <c r="G170" s="16" t="s">
        <v>1029</v>
      </c>
      <c r="H170" s="21" t="s">
        <v>694</v>
      </c>
      <c r="I170" s="18" t="str">
        <f t="shared" si="5"/>
        <v>20RB</v>
      </c>
      <c r="J170" s="22" t="s">
        <v>269</v>
      </c>
      <c r="K170" s="23"/>
    </row>
    <row r="171" spans="2:11" s="13" customFormat="1" ht="15.75" customHeight="1" x14ac:dyDescent="0.25">
      <c r="B171" s="24"/>
      <c r="C171" s="24"/>
      <c r="D171" s="24"/>
      <c r="E171" s="24"/>
      <c r="F171" s="24"/>
      <c r="G171" s="24"/>
      <c r="H171" s="17" t="s">
        <v>270</v>
      </c>
      <c r="I171" s="18"/>
      <c r="J171" s="19" t="s">
        <v>271</v>
      </c>
      <c r="K171" s="20"/>
    </row>
    <row r="172" spans="2:11" ht="15" customHeight="1" x14ac:dyDescent="0.2">
      <c r="B172" s="16" t="s">
        <v>1002</v>
      </c>
      <c r="C172" s="16" t="s">
        <v>1004</v>
      </c>
      <c r="D172" s="46" t="s">
        <v>1051</v>
      </c>
      <c r="E172" s="16" t="s">
        <v>1018</v>
      </c>
      <c r="F172" s="16" t="s">
        <v>1023</v>
      </c>
      <c r="G172" s="16" t="s">
        <v>1030</v>
      </c>
      <c r="H172" s="21" t="s">
        <v>695</v>
      </c>
      <c r="I172" s="18" t="str">
        <f t="shared" si="5"/>
        <v>0FRB</v>
      </c>
      <c r="J172" s="22" t="s">
        <v>271</v>
      </c>
      <c r="K172" s="23"/>
    </row>
    <row r="173" spans="2:11" ht="15" customHeight="1" x14ac:dyDescent="0.2">
      <c r="B173" s="16" t="s">
        <v>1002</v>
      </c>
      <c r="C173" s="16" t="s">
        <v>1004</v>
      </c>
      <c r="D173" s="46" t="s">
        <v>1051</v>
      </c>
      <c r="E173" s="16" t="s">
        <v>1018</v>
      </c>
      <c r="F173" s="16" t="s">
        <v>1023</v>
      </c>
      <c r="G173" s="16" t="s">
        <v>1030</v>
      </c>
      <c r="H173" s="21" t="s">
        <v>696</v>
      </c>
      <c r="I173" s="18" t="str">
        <f t="shared" si="5"/>
        <v>0PRB</v>
      </c>
      <c r="J173" s="22" t="s">
        <v>271</v>
      </c>
      <c r="K173" s="23"/>
    </row>
    <row r="174" spans="2:11" ht="15" customHeight="1" x14ac:dyDescent="0.2">
      <c r="B174" s="16" t="s">
        <v>1002</v>
      </c>
      <c r="C174" s="16" t="s">
        <v>1004</v>
      </c>
      <c r="D174" s="46" t="s">
        <v>1051</v>
      </c>
      <c r="E174" s="16" t="s">
        <v>1015</v>
      </c>
      <c r="F174" s="16" t="s">
        <v>1023</v>
      </c>
      <c r="G174" s="16" t="s">
        <v>1030</v>
      </c>
      <c r="H174" s="21" t="s">
        <v>697</v>
      </c>
      <c r="I174" s="18" t="str">
        <f t="shared" si="5"/>
        <v>01RB</v>
      </c>
      <c r="J174" s="22" t="s">
        <v>271</v>
      </c>
      <c r="K174" s="23"/>
    </row>
    <row r="175" spans="2:11" ht="15" customHeight="1" x14ac:dyDescent="0.2">
      <c r="B175" s="16" t="s">
        <v>1002</v>
      </c>
      <c r="C175" s="16" t="s">
        <v>1004</v>
      </c>
      <c r="D175" s="46" t="s">
        <v>1051</v>
      </c>
      <c r="E175" s="16" t="s">
        <v>1016</v>
      </c>
      <c r="F175" s="16" t="s">
        <v>1023</v>
      </c>
      <c r="G175" s="16" t="s">
        <v>1030</v>
      </c>
      <c r="H175" s="21" t="s">
        <v>698</v>
      </c>
      <c r="I175" s="18" t="str">
        <f t="shared" si="5"/>
        <v>04RB</v>
      </c>
      <c r="J175" s="22" t="s">
        <v>271</v>
      </c>
      <c r="K175" s="23"/>
    </row>
    <row r="176" spans="2:11" ht="15" customHeight="1" x14ac:dyDescent="0.2">
      <c r="B176" s="16" t="s">
        <v>1002</v>
      </c>
      <c r="C176" s="16" t="s">
        <v>1004</v>
      </c>
      <c r="D176" s="46" t="s">
        <v>1051</v>
      </c>
      <c r="E176" s="16" t="s">
        <v>1016</v>
      </c>
      <c r="F176" s="16" t="s">
        <v>1023</v>
      </c>
      <c r="G176" s="16" t="s">
        <v>1030</v>
      </c>
      <c r="H176" s="21" t="s">
        <v>699</v>
      </c>
      <c r="I176" s="18" t="str">
        <f t="shared" si="5"/>
        <v>05RB</v>
      </c>
      <c r="J176" s="22" t="s">
        <v>271</v>
      </c>
      <c r="K176" s="23"/>
    </row>
    <row r="177" spans="2:11" ht="15" customHeight="1" x14ac:dyDescent="0.2">
      <c r="B177" s="16" t="s">
        <v>1002</v>
      </c>
      <c r="C177" s="16" t="s">
        <v>1004</v>
      </c>
      <c r="D177" s="46" t="s">
        <v>1051</v>
      </c>
      <c r="E177" s="16" t="s">
        <v>1016</v>
      </c>
      <c r="F177" s="16" t="s">
        <v>1023</v>
      </c>
      <c r="G177" s="16" t="s">
        <v>1030</v>
      </c>
      <c r="H177" s="21" t="s">
        <v>700</v>
      </c>
      <c r="I177" s="18" t="str">
        <f t="shared" si="5"/>
        <v>08RB</v>
      </c>
      <c r="J177" s="22" t="s">
        <v>271</v>
      </c>
      <c r="K177" s="23"/>
    </row>
    <row r="178" spans="2:11" ht="15" customHeight="1" x14ac:dyDescent="0.2">
      <c r="B178" s="16" t="s">
        <v>1002</v>
      </c>
      <c r="C178" s="16" t="s">
        <v>1004</v>
      </c>
      <c r="D178" s="46" t="s">
        <v>1051</v>
      </c>
      <c r="E178" s="16" t="s">
        <v>1015</v>
      </c>
      <c r="F178" s="16" t="s">
        <v>1023</v>
      </c>
      <c r="G178" s="16" t="s">
        <v>1030</v>
      </c>
      <c r="H178" s="21" t="s">
        <v>701</v>
      </c>
      <c r="I178" s="18" t="str">
        <f t="shared" si="5"/>
        <v>10RB</v>
      </c>
      <c r="J178" s="22" t="s">
        <v>271</v>
      </c>
      <c r="K178" s="23"/>
    </row>
    <row r="179" spans="2:11" ht="15" customHeight="1" x14ac:dyDescent="0.2">
      <c r="B179" s="16" t="s">
        <v>1002</v>
      </c>
      <c r="C179" s="16" t="s">
        <v>1004</v>
      </c>
      <c r="D179" s="46" t="s">
        <v>1051</v>
      </c>
      <c r="E179" s="16" t="s">
        <v>1015</v>
      </c>
      <c r="F179" s="16" t="s">
        <v>1023</v>
      </c>
      <c r="G179" s="16" t="s">
        <v>1030</v>
      </c>
      <c r="H179" s="21" t="s">
        <v>702</v>
      </c>
      <c r="I179" s="18" t="str">
        <f t="shared" si="5"/>
        <v>100I</v>
      </c>
      <c r="J179" s="22" t="s">
        <v>271</v>
      </c>
      <c r="K179" s="23"/>
    </row>
    <row r="180" spans="2:11" ht="15" customHeight="1" x14ac:dyDescent="0.2">
      <c r="B180" s="16" t="s">
        <v>1002</v>
      </c>
      <c r="C180" s="16" t="s">
        <v>1004</v>
      </c>
      <c r="D180" s="46" t="s">
        <v>1051</v>
      </c>
      <c r="E180" s="16" t="s">
        <v>1015</v>
      </c>
      <c r="F180" s="16" t="s">
        <v>1023</v>
      </c>
      <c r="G180" s="16" t="s">
        <v>1030</v>
      </c>
      <c r="H180" s="21" t="s">
        <v>703</v>
      </c>
      <c r="I180" s="18" t="str">
        <f t="shared" si="5"/>
        <v>13RB</v>
      </c>
      <c r="J180" s="22" t="s">
        <v>271</v>
      </c>
      <c r="K180" s="23"/>
    </row>
    <row r="181" spans="2:11" ht="15" customHeight="1" x14ac:dyDescent="0.2">
      <c r="B181" s="16" t="s">
        <v>1002</v>
      </c>
      <c r="C181" s="16" t="s">
        <v>1004</v>
      </c>
      <c r="D181" s="46" t="s">
        <v>1051</v>
      </c>
      <c r="E181" s="16" t="s">
        <v>1015</v>
      </c>
      <c r="F181" s="16" t="s">
        <v>1023</v>
      </c>
      <c r="G181" s="16" t="s">
        <v>1030</v>
      </c>
      <c r="H181" s="21" t="s">
        <v>704</v>
      </c>
      <c r="I181" s="18" t="str">
        <f t="shared" si="5"/>
        <v>14RB</v>
      </c>
      <c r="J181" s="22" t="s">
        <v>271</v>
      </c>
      <c r="K181" s="23"/>
    </row>
    <row r="182" spans="2:11" ht="15" customHeight="1" x14ac:dyDescent="0.2">
      <c r="B182" s="16" t="s">
        <v>1002</v>
      </c>
      <c r="C182" s="16" t="s">
        <v>1004</v>
      </c>
      <c r="D182" s="46" t="s">
        <v>1051</v>
      </c>
      <c r="E182" s="16" t="s">
        <v>1020</v>
      </c>
      <c r="F182" s="16" t="s">
        <v>1023</v>
      </c>
      <c r="G182" s="16" t="s">
        <v>1030</v>
      </c>
      <c r="H182" s="21" t="s">
        <v>705</v>
      </c>
      <c r="I182" s="18" t="str">
        <f t="shared" si="5"/>
        <v>191R</v>
      </c>
      <c r="J182" s="22" t="s">
        <v>271</v>
      </c>
      <c r="K182" s="23"/>
    </row>
    <row r="183" spans="2:11" ht="15" customHeight="1" x14ac:dyDescent="0.2">
      <c r="B183" s="16" t="s">
        <v>1002</v>
      </c>
      <c r="C183" s="16" t="s">
        <v>1004</v>
      </c>
      <c r="D183" s="46" t="s">
        <v>1051</v>
      </c>
      <c r="E183" s="16" t="s">
        <v>1020</v>
      </c>
      <c r="F183" s="16" t="s">
        <v>1023</v>
      </c>
      <c r="G183" s="16" t="s">
        <v>1030</v>
      </c>
      <c r="H183" s="21" t="s">
        <v>706</v>
      </c>
      <c r="I183" s="18" t="str">
        <f t="shared" si="5"/>
        <v>193R</v>
      </c>
      <c r="J183" s="22" t="s">
        <v>271</v>
      </c>
      <c r="K183" s="23"/>
    </row>
    <row r="184" spans="2:11" ht="15" customHeight="1" x14ac:dyDescent="0.2">
      <c r="B184" s="16" t="s">
        <v>1002</v>
      </c>
      <c r="C184" s="16" t="s">
        <v>1004</v>
      </c>
      <c r="D184" s="46" t="s">
        <v>1051</v>
      </c>
      <c r="E184" s="16" t="s">
        <v>1014</v>
      </c>
      <c r="F184" s="16" t="s">
        <v>1023</v>
      </c>
      <c r="G184" s="16" t="s">
        <v>1030</v>
      </c>
      <c r="H184" s="21" t="s">
        <v>707</v>
      </c>
      <c r="I184" s="18" t="str">
        <f t="shared" si="5"/>
        <v>20RB</v>
      </c>
      <c r="J184" s="22" t="s">
        <v>271</v>
      </c>
      <c r="K184" s="23"/>
    </row>
    <row r="185" spans="2:11" ht="15" customHeight="1" x14ac:dyDescent="0.2">
      <c r="B185" s="16" t="s">
        <v>1002</v>
      </c>
      <c r="C185" s="16" t="s">
        <v>1004</v>
      </c>
      <c r="D185" s="46" t="s">
        <v>1051</v>
      </c>
      <c r="E185" s="16" t="s">
        <v>1015</v>
      </c>
      <c r="F185" s="16" t="s">
        <v>1023</v>
      </c>
      <c r="G185" s="16" t="s">
        <v>1030</v>
      </c>
      <c r="H185" s="21" t="s">
        <v>708</v>
      </c>
      <c r="I185" s="18" t="str">
        <f t="shared" si="5"/>
        <v>23RB</v>
      </c>
      <c r="J185" s="22" t="s">
        <v>271</v>
      </c>
      <c r="K185" s="23"/>
    </row>
    <row r="186" spans="2:11" ht="15" customHeight="1" x14ac:dyDescent="0.2">
      <c r="B186" s="16" t="s">
        <v>1002</v>
      </c>
      <c r="C186" s="16" t="s">
        <v>1004</v>
      </c>
      <c r="D186" s="46" t="s">
        <v>1051</v>
      </c>
      <c r="E186" s="16" t="s">
        <v>1015</v>
      </c>
      <c r="F186" s="16" t="s">
        <v>1023</v>
      </c>
      <c r="G186" s="16" t="s">
        <v>1030</v>
      </c>
      <c r="H186" s="21" t="s">
        <v>709</v>
      </c>
      <c r="I186" s="18" t="str">
        <f t="shared" si="5"/>
        <v>60RB</v>
      </c>
      <c r="J186" s="22" t="s">
        <v>271</v>
      </c>
      <c r="K186" s="23"/>
    </row>
    <row r="187" spans="2:11" ht="15" customHeight="1" x14ac:dyDescent="0.2">
      <c r="B187" s="16" t="s">
        <v>1002</v>
      </c>
      <c r="C187" s="16" t="s">
        <v>1004</v>
      </c>
      <c r="D187" s="46" t="s">
        <v>1051</v>
      </c>
      <c r="E187" s="16" t="s">
        <v>1015</v>
      </c>
      <c r="F187" s="16" t="s">
        <v>1023</v>
      </c>
      <c r="G187" s="16" t="s">
        <v>1030</v>
      </c>
      <c r="H187" s="21" t="s">
        <v>710</v>
      </c>
      <c r="I187" s="18" t="str">
        <f t="shared" si="5"/>
        <v>61RB</v>
      </c>
      <c r="J187" s="22" t="s">
        <v>271</v>
      </c>
      <c r="K187" s="23"/>
    </row>
    <row r="188" spans="2:11" ht="15" customHeight="1" x14ac:dyDescent="0.2">
      <c r="B188" s="16" t="s">
        <v>1002</v>
      </c>
      <c r="C188" s="16" t="s">
        <v>1004</v>
      </c>
      <c r="D188" s="46" t="s">
        <v>1051</v>
      </c>
      <c r="E188" s="16" t="s">
        <v>1017</v>
      </c>
      <c r="F188" s="16" t="s">
        <v>1023</v>
      </c>
      <c r="G188" s="16" t="s">
        <v>1030</v>
      </c>
      <c r="H188" s="21" t="s">
        <v>711</v>
      </c>
      <c r="I188" s="18" t="str">
        <f t="shared" si="5"/>
        <v>99RB</v>
      </c>
      <c r="J188" s="22" t="s">
        <v>271</v>
      </c>
      <c r="K188" s="23"/>
    </row>
    <row r="189" spans="2:11" s="13" customFormat="1" ht="15.75" customHeight="1" x14ac:dyDescent="0.25">
      <c r="B189" s="24"/>
      <c r="C189" s="24"/>
      <c r="D189" s="24"/>
      <c r="E189" s="24"/>
      <c r="F189" s="24"/>
      <c r="G189" s="24"/>
      <c r="H189" s="17" t="s">
        <v>272</v>
      </c>
      <c r="I189" s="18"/>
      <c r="J189" s="19" t="s">
        <v>273</v>
      </c>
      <c r="K189" s="20"/>
    </row>
    <row r="190" spans="2:11" s="13" customFormat="1" ht="15.75" customHeight="1" x14ac:dyDescent="0.25">
      <c r="B190" s="24"/>
      <c r="C190" s="24"/>
      <c r="D190" s="24"/>
      <c r="E190" s="24"/>
      <c r="F190" s="24"/>
      <c r="G190" s="24"/>
      <c r="H190" s="17" t="s">
        <v>274</v>
      </c>
      <c r="I190" s="18"/>
      <c r="J190" s="19" t="s">
        <v>275</v>
      </c>
      <c r="K190" s="20"/>
    </row>
    <row r="191" spans="2:11" ht="15" customHeight="1" x14ac:dyDescent="0.2">
      <c r="B191" s="16" t="s">
        <v>1002</v>
      </c>
      <c r="C191" s="16" t="s">
        <v>1004</v>
      </c>
      <c r="D191" s="46" t="s">
        <v>1051</v>
      </c>
      <c r="E191" s="16" t="s">
        <v>1016</v>
      </c>
      <c r="F191" s="16" t="s">
        <v>1023</v>
      </c>
      <c r="G191" s="16" t="s">
        <v>1031</v>
      </c>
      <c r="H191" s="21" t="s">
        <v>276</v>
      </c>
      <c r="I191" s="18" t="str">
        <f t="shared" ref="I191:I203" si="6">RIGHT(H191,4)</f>
        <v>- 04</v>
      </c>
      <c r="J191" s="22" t="s">
        <v>275</v>
      </c>
      <c r="K191" s="23">
        <v>0</v>
      </c>
    </row>
    <row r="192" spans="2:11" ht="15" customHeight="1" x14ac:dyDescent="0.2">
      <c r="B192" s="16" t="s">
        <v>1002</v>
      </c>
      <c r="C192" s="16" t="s">
        <v>1004</v>
      </c>
      <c r="D192" s="46" t="s">
        <v>1051</v>
      </c>
      <c r="E192" s="16" t="s">
        <v>1016</v>
      </c>
      <c r="F192" s="16" t="s">
        <v>1023</v>
      </c>
      <c r="G192" s="16" t="s">
        <v>1031</v>
      </c>
      <c r="H192" s="21" t="s">
        <v>712</v>
      </c>
      <c r="I192" s="18" t="str">
        <f t="shared" si="6"/>
        <v>- 05</v>
      </c>
      <c r="J192" s="22" t="s">
        <v>275</v>
      </c>
      <c r="K192" s="23"/>
    </row>
    <row r="193" spans="2:11" ht="15" customHeight="1" x14ac:dyDescent="0.2">
      <c r="B193" s="16" t="s">
        <v>1002</v>
      </c>
      <c r="C193" s="16" t="s">
        <v>1004</v>
      </c>
      <c r="D193" s="46" t="s">
        <v>1051</v>
      </c>
      <c r="E193" s="16" t="s">
        <v>1016</v>
      </c>
      <c r="F193" s="16" t="s">
        <v>1023</v>
      </c>
      <c r="G193" s="16" t="s">
        <v>1031</v>
      </c>
      <c r="H193" s="21" t="s">
        <v>713</v>
      </c>
      <c r="I193" s="18" t="str">
        <f t="shared" si="6"/>
        <v>- 08</v>
      </c>
      <c r="J193" s="22" t="s">
        <v>275</v>
      </c>
      <c r="K193" s="23"/>
    </row>
    <row r="194" spans="2:11" ht="15" customHeight="1" x14ac:dyDescent="0.2">
      <c r="B194" s="16" t="s">
        <v>1002</v>
      </c>
      <c r="C194" s="16" t="s">
        <v>1004</v>
      </c>
      <c r="D194" s="46" t="s">
        <v>1051</v>
      </c>
      <c r="E194" s="16" t="s">
        <v>1015</v>
      </c>
      <c r="F194" s="16" t="s">
        <v>1023</v>
      </c>
      <c r="G194" s="16" t="s">
        <v>1031</v>
      </c>
      <c r="H194" s="21" t="s">
        <v>714</v>
      </c>
      <c r="I194" s="18" t="str">
        <f t="shared" si="6"/>
        <v>100I</v>
      </c>
      <c r="J194" s="22" t="s">
        <v>275</v>
      </c>
      <c r="K194" s="23"/>
    </row>
    <row r="195" spans="2:11" ht="15" customHeight="1" x14ac:dyDescent="0.2">
      <c r="B195" s="16" t="s">
        <v>1002</v>
      </c>
      <c r="C195" s="16" t="s">
        <v>1004</v>
      </c>
      <c r="D195" s="46" t="s">
        <v>1051</v>
      </c>
      <c r="E195" s="16" t="s">
        <v>1019</v>
      </c>
      <c r="F195" s="16" t="s">
        <v>1023</v>
      </c>
      <c r="G195" s="16" t="s">
        <v>1031</v>
      </c>
      <c r="H195" s="21" t="s">
        <v>715</v>
      </c>
      <c r="I195" s="18" t="str">
        <f t="shared" si="6"/>
        <v xml:space="preserve"> 125</v>
      </c>
      <c r="J195" s="22" t="s">
        <v>275</v>
      </c>
      <c r="K195" s="23"/>
    </row>
    <row r="196" spans="2:11" ht="15" customHeight="1" x14ac:dyDescent="0.2">
      <c r="B196" s="16" t="s">
        <v>1002</v>
      </c>
      <c r="C196" s="16" t="s">
        <v>1004</v>
      </c>
      <c r="D196" s="46" t="s">
        <v>1051</v>
      </c>
      <c r="E196" s="16" t="s">
        <v>1015</v>
      </c>
      <c r="F196" s="16" t="s">
        <v>1023</v>
      </c>
      <c r="G196" s="16" t="s">
        <v>1031</v>
      </c>
      <c r="H196" s="21" t="s">
        <v>716</v>
      </c>
      <c r="I196" s="18" t="str">
        <f t="shared" si="6"/>
        <v>- 13</v>
      </c>
      <c r="J196" s="22" t="s">
        <v>275</v>
      </c>
      <c r="K196" s="23"/>
    </row>
    <row r="197" spans="2:11" ht="15" customHeight="1" x14ac:dyDescent="0.2">
      <c r="B197" s="16" t="s">
        <v>1002</v>
      </c>
      <c r="C197" s="16" t="s">
        <v>1004</v>
      </c>
      <c r="D197" s="46" t="s">
        <v>1051</v>
      </c>
      <c r="E197" s="16" t="s">
        <v>1015</v>
      </c>
      <c r="F197" s="16" t="s">
        <v>1023</v>
      </c>
      <c r="G197" s="16" t="s">
        <v>1031</v>
      </c>
      <c r="H197" s="21" t="s">
        <v>717</v>
      </c>
      <c r="I197" s="18" t="str">
        <f t="shared" si="6"/>
        <v>- 17</v>
      </c>
      <c r="J197" s="22" t="s">
        <v>275</v>
      </c>
      <c r="K197" s="23"/>
    </row>
    <row r="198" spans="2:11" ht="15" customHeight="1" x14ac:dyDescent="0.2">
      <c r="B198" s="16" t="s">
        <v>1002</v>
      </c>
      <c r="C198" s="16" t="s">
        <v>1004</v>
      </c>
      <c r="D198" s="46" t="s">
        <v>1051</v>
      </c>
      <c r="E198" s="16" t="s">
        <v>1020</v>
      </c>
      <c r="F198" s="16" t="s">
        <v>1023</v>
      </c>
      <c r="G198" s="16" t="s">
        <v>1031</v>
      </c>
      <c r="H198" s="21" t="s">
        <v>718</v>
      </c>
      <c r="I198" s="18" t="str">
        <f t="shared" si="6"/>
        <v xml:space="preserve"> 191</v>
      </c>
      <c r="J198" s="22" t="s">
        <v>275</v>
      </c>
      <c r="K198" s="23"/>
    </row>
    <row r="199" spans="2:11" ht="15" customHeight="1" x14ac:dyDescent="0.2">
      <c r="B199" s="16" t="s">
        <v>1002</v>
      </c>
      <c r="C199" s="16" t="s">
        <v>1004</v>
      </c>
      <c r="D199" s="46" t="s">
        <v>1051</v>
      </c>
      <c r="E199" s="16" t="s">
        <v>1020</v>
      </c>
      <c r="F199" s="16" t="s">
        <v>1023</v>
      </c>
      <c r="G199" s="16" t="s">
        <v>1031</v>
      </c>
      <c r="H199" s="21" t="s">
        <v>719</v>
      </c>
      <c r="I199" s="18" t="str">
        <f t="shared" si="6"/>
        <v xml:space="preserve"> 193</v>
      </c>
      <c r="J199" s="22" t="s">
        <v>275</v>
      </c>
      <c r="K199" s="23"/>
    </row>
    <row r="200" spans="2:11" ht="15" customHeight="1" x14ac:dyDescent="0.2">
      <c r="B200" s="16" t="s">
        <v>1002</v>
      </c>
      <c r="C200" s="16" t="s">
        <v>1004</v>
      </c>
      <c r="D200" s="46" t="s">
        <v>1051</v>
      </c>
      <c r="E200" s="16" t="s">
        <v>1014</v>
      </c>
      <c r="F200" s="16" t="s">
        <v>1023</v>
      </c>
      <c r="G200" s="16" t="s">
        <v>1031</v>
      </c>
      <c r="H200" s="21" t="s">
        <v>720</v>
      </c>
      <c r="I200" s="18" t="str">
        <f t="shared" si="6"/>
        <v>- 20</v>
      </c>
      <c r="J200" s="22" t="s">
        <v>275</v>
      </c>
      <c r="K200" s="23"/>
    </row>
    <row r="201" spans="2:11" ht="15" customHeight="1" x14ac:dyDescent="0.2">
      <c r="B201" s="16" t="s">
        <v>1002</v>
      </c>
      <c r="C201" s="16" t="s">
        <v>1004</v>
      </c>
      <c r="D201" s="46" t="s">
        <v>1051</v>
      </c>
      <c r="E201" s="16" t="s">
        <v>1015</v>
      </c>
      <c r="F201" s="16" t="s">
        <v>1023</v>
      </c>
      <c r="G201" s="16" t="s">
        <v>1031</v>
      </c>
      <c r="H201" s="21" t="s">
        <v>721</v>
      </c>
      <c r="I201" s="18" t="str">
        <f t="shared" si="6"/>
        <v>- 23</v>
      </c>
      <c r="J201" s="22" t="s">
        <v>275</v>
      </c>
      <c r="K201" s="23"/>
    </row>
    <row r="202" spans="2:11" s="13" customFormat="1" ht="15.75" customHeight="1" x14ac:dyDescent="0.25">
      <c r="B202" s="24"/>
      <c r="C202" s="24"/>
      <c r="D202" s="24"/>
      <c r="E202" s="24"/>
      <c r="F202" s="24"/>
      <c r="G202" s="24"/>
      <c r="H202" s="17" t="s">
        <v>277</v>
      </c>
      <c r="I202" s="18"/>
      <c r="J202" s="19" t="s">
        <v>278</v>
      </c>
      <c r="K202" s="20"/>
    </row>
    <row r="203" spans="2:11" ht="15" customHeight="1" x14ac:dyDescent="0.2">
      <c r="B203" s="16" t="s">
        <v>1002</v>
      </c>
      <c r="C203" s="16" t="s">
        <v>1004</v>
      </c>
      <c r="D203" s="46" t="s">
        <v>1051</v>
      </c>
      <c r="E203" s="16" t="s">
        <v>1014</v>
      </c>
      <c r="F203" s="16" t="s">
        <v>1023</v>
      </c>
      <c r="G203" s="16" t="s">
        <v>1032</v>
      </c>
      <c r="H203" s="21" t="s">
        <v>279</v>
      </c>
      <c r="I203" s="18" t="str">
        <f t="shared" si="6"/>
        <v>- 20</v>
      </c>
      <c r="J203" s="22" t="s">
        <v>278</v>
      </c>
      <c r="K203" s="23">
        <v>0</v>
      </c>
    </row>
    <row r="204" spans="2:11" ht="15.75" customHeight="1" x14ac:dyDescent="0.25">
      <c r="B204" s="16"/>
      <c r="C204" s="16"/>
      <c r="D204" s="16"/>
      <c r="E204" s="16"/>
      <c r="F204" s="16"/>
      <c r="G204" s="16"/>
      <c r="H204" s="25" t="s">
        <v>776</v>
      </c>
      <c r="I204" s="25"/>
      <c r="J204" s="25"/>
      <c r="K204" s="26">
        <v>438913691636</v>
      </c>
    </row>
    <row r="205" spans="2:11" ht="15" customHeight="1" x14ac:dyDescent="0.2">
      <c r="B205" s="16"/>
      <c r="C205" s="16"/>
      <c r="D205" s="16"/>
      <c r="E205" s="16"/>
      <c r="F205" s="16"/>
      <c r="G205" s="16"/>
      <c r="H205" s="21"/>
      <c r="I205" s="18"/>
      <c r="J205" s="22"/>
      <c r="K205" s="27"/>
    </row>
    <row r="206" spans="2:11" ht="15.75" customHeight="1" x14ac:dyDescent="0.2">
      <c r="B206" s="16"/>
      <c r="C206" s="16"/>
      <c r="D206" s="16"/>
      <c r="E206" s="16"/>
      <c r="F206" s="16"/>
      <c r="G206" s="16"/>
      <c r="H206" s="28" t="s">
        <v>777</v>
      </c>
      <c r="I206" s="29"/>
      <c r="J206" s="30"/>
      <c r="K206" s="27"/>
    </row>
    <row r="207" spans="2:11" ht="16.5" customHeight="1" x14ac:dyDescent="0.2">
      <c r="B207" s="16"/>
      <c r="C207" s="16"/>
      <c r="D207" s="16"/>
      <c r="E207" s="16"/>
      <c r="F207" s="16"/>
      <c r="G207" s="16"/>
      <c r="H207" s="31" t="s">
        <v>778</v>
      </c>
      <c r="I207" s="29"/>
      <c r="J207" s="32" t="s">
        <v>779</v>
      </c>
      <c r="K207" s="33" t="s">
        <v>964</v>
      </c>
    </row>
    <row r="208" spans="2:11" s="13" customFormat="1" ht="15.75" customHeight="1" x14ac:dyDescent="0.25">
      <c r="B208" s="24"/>
      <c r="C208" s="24"/>
      <c r="D208" s="24"/>
      <c r="E208" s="24"/>
      <c r="F208" s="24"/>
      <c r="G208" s="24"/>
      <c r="H208" s="17" t="s">
        <v>280</v>
      </c>
      <c r="I208" s="18"/>
      <c r="J208" s="19" t="s">
        <v>1</v>
      </c>
      <c r="K208" s="20">
        <f>+K209+K232</f>
        <v>594675672654</v>
      </c>
    </row>
    <row r="209" spans="2:11" s="13" customFormat="1" ht="15.75" customHeight="1" x14ac:dyDescent="0.25">
      <c r="B209" s="24"/>
      <c r="C209" s="24"/>
      <c r="D209" s="24"/>
      <c r="E209" s="24"/>
      <c r="F209" s="24"/>
      <c r="G209" s="24"/>
      <c r="H209" s="17" t="s">
        <v>281</v>
      </c>
      <c r="I209" s="18"/>
      <c r="J209" s="19" t="s">
        <v>3</v>
      </c>
      <c r="K209" s="20">
        <v>594075672654</v>
      </c>
    </row>
    <row r="210" spans="2:11" s="13" customFormat="1" ht="15.75" customHeight="1" x14ac:dyDescent="0.25">
      <c r="B210" s="24"/>
      <c r="C210" s="24"/>
      <c r="D210" s="24"/>
      <c r="E210" s="24"/>
      <c r="F210" s="24"/>
      <c r="G210" s="24"/>
      <c r="H210" s="17" t="s">
        <v>282</v>
      </c>
      <c r="I210" s="18"/>
      <c r="J210" s="19" t="s">
        <v>86</v>
      </c>
      <c r="K210" s="20">
        <v>594075672654</v>
      </c>
    </row>
    <row r="211" spans="2:11" s="13" customFormat="1" ht="15.75" customHeight="1" x14ac:dyDescent="0.25">
      <c r="B211" s="24"/>
      <c r="C211" s="24"/>
      <c r="D211" s="24"/>
      <c r="E211" s="24"/>
      <c r="F211" s="24"/>
      <c r="G211" s="24"/>
      <c r="H211" s="17" t="s">
        <v>283</v>
      </c>
      <c r="I211" s="18"/>
      <c r="J211" s="19" t="s">
        <v>164</v>
      </c>
      <c r="K211" s="20">
        <v>593935923534</v>
      </c>
    </row>
    <row r="212" spans="2:11" ht="15.75" customHeight="1" x14ac:dyDescent="0.2">
      <c r="B212" s="16"/>
      <c r="C212" s="16"/>
      <c r="D212" s="16"/>
      <c r="E212" s="16"/>
      <c r="F212" s="16"/>
      <c r="G212" s="16"/>
      <c r="H212" s="21" t="s">
        <v>284</v>
      </c>
      <c r="I212" s="18"/>
      <c r="J212" s="22" t="s">
        <v>166</v>
      </c>
      <c r="K212" s="23">
        <v>553214942534</v>
      </c>
    </row>
    <row r="213" spans="2:11" ht="15" customHeight="1" x14ac:dyDescent="0.2">
      <c r="B213" s="16"/>
      <c r="C213" s="16"/>
      <c r="D213" s="16"/>
      <c r="E213" s="16"/>
      <c r="F213" s="16"/>
      <c r="G213" s="16"/>
      <c r="H213" s="21" t="s">
        <v>285</v>
      </c>
      <c r="I213" s="18"/>
      <c r="J213" s="22" t="s">
        <v>286</v>
      </c>
      <c r="K213" s="23">
        <v>553214942534</v>
      </c>
    </row>
    <row r="214" spans="2:11" ht="15" customHeight="1" x14ac:dyDescent="0.2">
      <c r="B214" s="16"/>
      <c r="C214" s="16"/>
      <c r="D214" s="16"/>
      <c r="E214" s="16"/>
      <c r="F214" s="16"/>
      <c r="G214" s="16"/>
      <c r="H214" s="21" t="s">
        <v>287</v>
      </c>
      <c r="I214" s="18"/>
      <c r="J214" s="22" t="s">
        <v>288</v>
      </c>
      <c r="K214" s="23">
        <v>549077509198</v>
      </c>
    </row>
    <row r="215" spans="2:11" ht="15" customHeight="1" x14ac:dyDescent="0.2">
      <c r="B215" s="16" t="s">
        <v>1002</v>
      </c>
      <c r="C215" s="16" t="s">
        <v>1005</v>
      </c>
      <c r="D215" s="46" t="s">
        <v>1051</v>
      </c>
      <c r="E215" s="16" t="s">
        <v>1017</v>
      </c>
      <c r="F215" s="16" t="s">
        <v>1022</v>
      </c>
      <c r="G215" s="16" t="s">
        <v>1025</v>
      </c>
      <c r="H215" s="21" t="s">
        <v>290</v>
      </c>
      <c r="I215" s="18" t="str">
        <f t="shared" ref="I215:I220" si="7">RIGHT(H215,4)</f>
        <v>- 25</v>
      </c>
      <c r="J215" s="22" t="s">
        <v>288</v>
      </c>
      <c r="K215" s="23">
        <v>461902246342</v>
      </c>
    </row>
    <row r="216" spans="2:11" ht="15" customHeight="1" x14ac:dyDescent="0.2">
      <c r="B216" s="16" t="s">
        <v>1002</v>
      </c>
      <c r="C216" s="16" t="s">
        <v>1005</v>
      </c>
      <c r="D216" s="46" t="s">
        <v>1051</v>
      </c>
      <c r="E216" s="16" t="s">
        <v>1017</v>
      </c>
      <c r="F216" s="16" t="s">
        <v>1022</v>
      </c>
      <c r="G216" s="16" t="s">
        <v>1025</v>
      </c>
      <c r="H216" s="21" t="s">
        <v>291</v>
      </c>
      <c r="I216" s="18" t="str">
        <f t="shared" si="7"/>
        <v>- 26</v>
      </c>
      <c r="J216" s="22" t="s">
        <v>292</v>
      </c>
      <c r="K216" s="23">
        <v>59075029448</v>
      </c>
    </row>
    <row r="217" spans="2:11" ht="15" customHeight="1" x14ac:dyDescent="0.2">
      <c r="B217" s="16" t="s">
        <v>1002</v>
      </c>
      <c r="C217" s="16" t="s">
        <v>1005</v>
      </c>
      <c r="D217" s="46" t="s">
        <v>1051</v>
      </c>
      <c r="E217" s="16" t="s">
        <v>1017</v>
      </c>
      <c r="F217" s="16" t="s">
        <v>1022</v>
      </c>
      <c r="G217" s="16" t="s">
        <v>1025</v>
      </c>
      <c r="H217" s="21" t="s">
        <v>293</v>
      </c>
      <c r="I217" s="18" t="str">
        <f t="shared" si="7"/>
        <v>- 26</v>
      </c>
      <c r="J217" s="22" t="s">
        <v>294</v>
      </c>
      <c r="K217" s="23">
        <v>26738875746</v>
      </c>
    </row>
    <row r="218" spans="2:11" ht="15" customHeight="1" x14ac:dyDescent="0.2">
      <c r="B218" s="16" t="s">
        <v>1002</v>
      </c>
      <c r="C218" s="16" t="s">
        <v>1005</v>
      </c>
      <c r="D218" s="46" t="s">
        <v>1051</v>
      </c>
      <c r="E218" s="16" t="s">
        <v>1017</v>
      </c>
      <c r="F218" s="16" t="s">
        <v>1022</v>
      </c>
      <c r="G218" s="16" t="s">
        <v>1025</v>
      </c>
      <c r="H218" s="21" t="s">
        <v>295</v>
      </c>
      <c r="I218" s="18" t="str">
        <f t="shared" si="7"/>
        <v>- 25</v>
      </c>
      <c r="J218" s="22" t="s">
        <v>296</v>
      </c>
      <c r="K218" s="23">
        <v>1361357662</v>
      </c>
    </row>
    <row r="219" spans="2:11" ht="15" customHeight="1" x14ac:dyDescent="0.2">
      <c r="B219" s="16"/>
      <c r="C219" s="16"/>
      <c r="D219" s="16"/>
      <c r="E219" s="16"/>
      <c r="F219" s="16"/>
      <c r="G219" s="16"/>
      <c r="H219" s="21" t="s">
        <v>297</v>
      </c>
      <c r="I219" s="18"/>
      <c r="J219" s="22" t="s">
        <v>298</v>
      </c>
      <c r="K219" s="23">
        <v>4137433336</v>
      </c>
    </row>
    <row r="220" spans="2:11" ht="15" customHeight="1" x14ac:dyDescent="0.2">
      <c r="B220" s="16" t="s">
        <v>1002</v>
      </c>
      <c r="C220" s="16" t="s">
        <v>1005</v>
      </c>
      <c r="D220" s="46" t="s">
        <v>1051</v>
      </c>
      <c r="E220" s="16" t="s">
        <v>1017</v>
      </c>
      <c r="F220" s="16" t="s">
        <v>1022</v>
      </c>
      <c r="G220" s="16" t="s">
        <v>1025</v>
      </c>
      <c r="H220" s="21" t="s">
        <v>299</v>
      </c>
      <c r="I220" s="18" t="str">
        <f t="shared" si="7"/>
        <v>- 27</v>
      </c>
      <c r="J220" s="22" t="s">
        <v>298</v>
      </c>
      <c r="K220" s="23">
        <v>4137433336</v>
      </c>
    </row>
    <row r="221" spans="2:11" ht="15" customHeight="1" x14ac:dyDescent="0.2">
      <c r="B221" s="16"/>
      <c r="C221" s="16"/>
      <c r="D221" s="16"/>
      <c r="E221" s="16"/>
      <c r="F221" s="16"/>
      <c r="G221" s="16"/>
      <c r="H221" s="21" t="s">
        <v>300</v>
      </c>
      <c r="I221" s="18"/>
      <c r="J221" s="22" t="s">
        <v>301</v>
      </c>
      <c r="K221" s="23">
        <v>40720981000</v>
      </c>
    </row>
    <row r="222" spans="2:11" ht="30" customHeight="1" x14ac:dyDescent="0.2">
      <c r="B222" s="16"/>
      <c r="C222" s="16"/>
      <c r="D222" s="16"/>
      <c r="E222" s="16"/>
      <c r="F222" s="16"/>
      <c r="G222" s="16"/>
      <c r="H222" s="21" t="s">
        <v>302</v>
      </c>
      <c r="I222" s="18"/>
      <c r="J222" s="22" t="s">
        <v>303</v>
      </c>
      <c r="K222" s="23">
        <v>40720981000</v>
      </c>
    </row>
    <row r="223" spans="2:11" ht="30" customHeight="1" x14ac:dyDescent="0.2">
      <c r="B223" s="16" t="s">
        <v>1002</v>
      </c>
      <c r="C223" s="16" t="s">
        <v>1005</v>
      </c>
      <c r="D223" s="46" t="s">
        <v>1051</v>
      </c>
      <c r="E223" s="16" t="s">
        <v>1018</v>
      </c>
      <c r="F223" s="16" t="s">
        <v>1022</v>
      </c>
      <c r="G223" s="16" t="s">
        <v>1025</v>
      </c>
      <c r="H223" s="21" t="s">
        <v>304</v>
      </c>
      <c r="I223" s="18" t="str">
        <f>RIGHT(H223,4)</f>
        <v>- 96</v>
      </c>
      <c r="J223" s="22" t="s">
        <v>303</v>
      </c>
      <c r="K223" s="23">
        <v>40720981000</v>
      </c>
    </row>
    <row r="224" spans="2:11" s="13" customFormat="1" ht="15.75" customHeight="1" x14ac:dyDescent="0.25">
      <c r="B224" s="24"/>
      <c r="C224" s="24"/>
      <c r="D224" s="24"/>
      <c r="E224" s="24"/>
      <c r="F224" s="24"/>
      <c r="G224" s="24"/>
      <c r="H224" s="17" t="s">
        <v>305</v>
      </c>
      <c r="I224" s="18"/>
      <c r="J224" s="19" t="s">
        <v>195</v>
      </c>
      <c r="K224" s="20">
        <v>139749120</v>
      </c>
    </row>
    <row r="225" spans="2:11" ht="30" customHeight="1" x14ac:dyDescent="0.2">
      <c r="B225" s="16"/>
      <c r="C225" s="16"/>
      <c r="D225" s="16"/>
      <c r="E225" s="16"/>
      <c r="F225" s="16"/>
      <c r="G225" s="16"/>
      <c r="H225" s="21" t="s">
        <v>306</v>
      </c>
      <c r="I225" s="18"/>
      <c r="J225" s="22" t="s">
        <v>197</v>
      </c>
      <c r="K225" s="23">
        <v>139749120</v>
      </c>
    </row>
    <row r="226" spans="2:11" ht="30" customHeight="1" x14ac:dyDescent="0.2">
      <c r="B226" s="16"/>
      <c r="C226" s="16"/>
      <c r="D226" s="16"/>
      <c r="E226" s="16"/>
      <c r="F226" s="16"/>
      <c r="G226" s="16"/>
      <c r="H226" s="21" t="s">
        <v>307</v>
      </c>
      <c r="I226" s="18"/>
      <c r="J226" s="22" t="s">
        <v>199</v>
      </c>
      <c r="K226" s="23">
        <v>139749120</v>
      </c>
    </row>
    <row r="227" spans="2:11" ht="15" customHeight="1" x14ac:dyDescent="0.2">
      <c r="B227" s="16"/>
      <c r="C227" s="16"/>
      <c r="D227" s="16"/>
      <c r="E227" s="16"/>
      <c r="F227" s="16"/>
      <c r="G227" s="16"/>
      <c r="H227" s="21" t="s">
        <v>308</v>
      </c>
      <c r="I227" s="18"/>
      <c r="J227" s="22" t="s">
        <v>201</v>
      </c>
      <c r="K227" s="23">
        <v>139749120</v>
      </c>
    </row>
    <row r="228" spans="2:11" ht="30" customHeight="1" x14ac:dyDescent="0.2">
      <c r="B228" s="16"/>
      <c r="C228" s="16"/>
      <c r="D228" s="16"/>
      <c r="E228" s="16"/>
      <c r="F228" s="16"/>
      <c r="G228" s="16"/>
      <c r="H228" s="21" t="s">
        <v>309</v>
      </c>
      <c r="I228" s="18"/>
      <c r="J228" s="22" t="s">
        <v>203</v>
      </c>
      <c r="K228" s="23">
        <v>0</v>
      </c>
    </row>
    <row r="229" spans="2:11" ht="30" customHeight="1" x14ac:dyDescent="0.2">
      <c r="B229" s="16" t="s">
        <v>1002</v>
      </c>
      <c r="C229" s="16" t="s">
        <v>1005</v>
      </c>
      <c r="D229" s="46" t="s">
        <v>1051</v>
      </c>
      <c r="E229" s="16" t="s">
        <v>1015</v>
      </c>
      <c r="F229" s="16" t="s">
        <v>1022</v>
      </c>
      <c r="G229" s="16" t="s">
        <v>1025</v>
      </c>
      <c r="H229" s="21" t="s">
        <v>310</v>
      </c>
      <c r="I229" s="18" t="str">
        <f>RIGHT(H229,4)</f>
        <v xml:space="preserve"> 153</v>
      </c>
      <c r="J229" s="22" t="s">
        <v>203</v>
      </c>
      <c r="K229" s="23">
        <v>0</v>
      </c>
    </row>
    <row r="230" spans="2:11" ht="30" customHeight="1" x14ac:dyDescent="0.2">
      <c r="B230" s="16"/>
      <c r="C230" s="16"/>
      <c r="D230" s="16"/>
      <c r="E230" s="16"/>
      <c r="F230" s="16"/>
      <c r="G230" s="16"/>
      <c r="H230" s="21" t="s">
        <v>311</v>
      </c>
      <c r="I230" s="18"/>
      <c r="J230" s="22" t="s">
        <v>207</v>
      </c>
      <c r="K230" s="23">
        <v>139749120</v>
      </c>
    </row>
    <row r="231" spans="2:11" ht="30" customHeight="1" x14ac:dyDescent="0.2">
      <c r="B231" s="16" t="s">
        <v>1002</v>
      </c>
      <c r="C231" s="16" t="s">
        <v>1005</v>
      </c>
      <c r="D231" s="46" t="s">
        <v>1051</v>
      </c>
      <c r="E231" s="16" t="s">
        <v>1015</v>
      </c>
      <c r="F231" s="16" t="s">
        <v>1022</v>
      </c>
      <c r="G231" s="16" t="s">
        <v>1025</v>
      </c>
      <c r="H231" s="21" t="s">
        <v>312</v>
      </c>
      <c r="I231" s="18" t="str">
        <f>RIGHT(H231,4)</f>
        <v xml:space="preserve"> 153</v>
      </c>
      <c r="J231" s="22" t="s">
        <v>207</v>
      </c>
      <c r="K231" s="23">
        <v>139749120</v>
      </c>
    </row>
    <row r="232" spans="2:11" s="13" customFormat="1" ht="15.75" customHeight="1" x14ac:dyDescent="0.25">
      <c r="B232" s="24"/>
      <c r="C232" s="24"/>
      <c r="D232" s="24"/>
      <c r="E232" s="24"/>
      <c r="F232" s="24"/>
      <c r="G232" s="24"/>
      <c r="H232" s="17" t="s">
        <v>313</v>
      </c>
      <c r="I232" s="18"/>
      <c r="J232" s="19" t="s">
        <v>225</v>
      </c>
      <c r="K232" s="20">
        <v>600000000</v>
      </c>
    </row>
    <row r="233" spans="2:11" s="13" customFormat="1" ht="15.75" customHeight="1" x14ac:dyDescent="0.25">
      <c r="B233" s="24"/>
      <c r="C233" s="24"/>
      <c r="D233" s="24"/>
      <c r="E233" s="24"/>
      <c r="F233" s="24"/>
      <c r="G233" s="24"/>
      <c r="H233" s="17" t="s">
        <v>314</v>
      </c>
      <c r="I233" s="18"/>
      <c r="J233" s="19" t="s">
        <v>239</v>
      </c>
      <c r="K233" s="20">
        <v>600000000</v>
      </c>
    </row>
    <row r="234" spans="2:11" s="13" customFormat="1" ht="15.75" customHeight="1" x14ac:dyDescent="0.25">
      <c r="B234" s="24"/>
      <c r="C234" s="24"/>
      <c r="D234" s="24"/>
      <c r="E234" s="24"/>
      <c r="F234" s="24"/>
      <c r="G234" s="24"/>
      <c r="H234" s="17" t="s">
        <v>315</v>
      </c>
      <c r="I234" s="18"/>
      <c r="J234" s="19" t="s">
        <v>241</v>
      </c>
      <c r="K234" s="20">
        <v>600000000</v>
      </c>
    </row>
    <row r="235" spans="2:11" ht="15" customHeight="1" x14ac:dyDescent="0.2">
      <c r="B235" s="16" t="s">
        <v>1002</v>
      </c>
      <c r="C235" s="16" t="s">
        <v>1005</v>
      </c>
      <c r="D235" s="46" t="s">
        <v>1051</v>
      </c>
      <c r="E235" s="16" t="s">
        <v>1015</v>
      </c>
      <c r="F235" s="16" t="s">
        <v>1023</v>
      </c>
      <c r="G235" s="16" t="s">
        <v>1028</v>
      </c>
      <c r="H235" s="21" t="s">
        <v>316</v>
      </c>
      <c r="I235" s="18" t="str">
        <f>RIGHT(H235,4)</f>
        <v>153F</v>
      </c>
      <c r="J235" s="22" t="s">
        <v>241</v>
      </c>
      <c r="K235" s="23">
        <v>0</v>
      </c>
    </row>
    <row r="236" spans="2:11" ht="15" customHeight="1" x14ac:dyDescent="0.2">
      <c r="B236" s="16" t="s">
        <v>1002</v>
      </c>
      <c r="C236" s="16" t="s">
        <v>1005</v>
      </c>
      <c r="D236" s="46" t="s">
        <v>1051</v>
      </c>
      <c r="E236" s="16" t="s">
        <v>1017</v>
      </c>
      <c r="F236" s="16" t="s">
        <v>1023</v>
      </c>
      <c r="G236" s="16" t="s">
        <v>1028</v>
      </c>
      <c r="H236" s="21" t="s">
        <v>317</v>
      </c>
      <c r="I236" s="18" t="str">
        <f>RIGHT(H236,4)</f>
        <v xml:space="preserve"> 25F</v>
      </c>
      <c r="J236" s="22" t="s">
        <v>241</v>
      </c>
      <c r="K236" s="23">
        <v>600000000</v>
      </c>
    </row>
    <row r="237" spans="2:11" ht="15" customHeight="1" x14ac:dyDescent="0.2">
      <c r="B237" s="16" t="s">
        <v>1002</v>
      </c>
      <c r="C237" s="16" t="s">
        <v>1005</v>
      </c>
      <c r="D237" s="46" t="s">
        <v>1051</v>
      </c>
      <c r="E237" s="16" t="s">
        <v>1017</v>
      </c>
      <c r="F237" s="16" t="s">
        <v>1023</v>
      </c>
      <c r="G237" s="16" t="s">
        <v>1028</v>
      </c>
      <c r="H237" s="21" t="s">
        <v>318</v>
      </c>
      <c r="I237" s="18" t="str">
        <f>RIGHT(H237,4)</f>
        <v xml:space="preserve"> 27F</v>
      </c>
      <c r="J237" s="22" t="s">
        <v>241</v>
      </c>
      <c r="K237" s="23">
        <v>0</v>
      </c>
    </row>
    <row r="238" spans="2:11" ht="15" customHeight="1" x14ac:dyDescent="0.2">
      <c r="B238" s="16" t="s">
        <v>1002</v>
      </c>
      <c r="C238" s="16" t="s">
        <v>1005</v>
      </c>
      <c r="D238" s="46" t="s">
        <v>1051</v>
      </c>
      <c r="E238" s="16" t="s">
        <v>1015</v>
      </c>
      <c r="F238" s="16" t="s">
        <v>1023</v>
      </c>
      <c r="G238" s="16" t="s">
        <v>1028</v>
      </c>
      <c r="H238" s="21" t="s">
        <v>319</v>
      </c>
      <c r="I238" s="18" t="str">
        <f>RIGHT(H238,4)</f>
        <v xml:space="preserve"> 96F</v>
      </c>
      <c r="J238" s="22" t="s">
        <v>241</v>
      </c>
      <c r="K238" s="23">
        <v>0</v>
      </c>
    </row>
    <row r="239" spans="2:11" ht="15" customHeight="1" x14ac:dyDescent="0.2">
      <c r="B239" s="16" t="s">
        <v>1002</v>
      </c>
      <c r="C239" s="16" t="s">
        <v>1005</v>
      </c>
      <c r="D239" s="46" t="s">
        <v>1051</v>
      </c>
      <c r="E239" s="16" t="s">
        <v>1015</v>
      </c>
      <c r="F239" s="16" t="s">
        <v>1023</v>
      </c>
      <c r="G239" s="16" t="s">
        <v>1028</v>
      </c>
      <c r="H239" s="21" t="s">
        <v>320</v>
      </c>
      <c r="I239" s="18" t="str">
        <f>RIGHT(H239,4)</f>
        <v xml:space="preserve"> 98F</v>
      </c>
      <c r="J239" s="22" t="s">
        <v>241</v>
      </c>
      <c r="K239" s="23">
        <v>0</v>
      </c>
    </row>
    <row r="240" spans="2:11" s="13" customFormat="1" ht="15.75" customHeight="1" x14ac:dyDescent="0.25">
      <c r="B240" s="24"/>
      <c r="C240" s="24"/>
      <c r="D240" s="24"/>
      <c r="E240" s="24"/>
      <c r="F240" s="24"/>
      <c r="G240" s="24"/>
      <c r="H240" s="17" t="s">
        <v>321</v>
      </c>
      <c r="I240" s="18"/>
      <c r="J240" s="19" t="s">
        <v>267</v>
      </c>
      <c r="K240" s="20">
        <v>0</v>
      </c>
    </row>
    <row r="241" spans="2:11" s="13" customFormat="1" ht="15.75" customHeight="1" x14ac:dyDescent="0.25">
      <c r="B241" s="24"/>
      <c r="C241" s="24"/>
      <c r="D241" s="24"/>
      <c r="E241" s="24"/>
      <c r="F241" s="24"/>
      <c r="G241" s="24"/>
      <c r="H241" s="17" t="s">
        <v>322</v>
      </c>
      <c r="I241" s="18"/>
      <c r="J241" s="19" t="s">
        <v>271</v>
      </c>
      <c r="K241" s="20">
        <v>0</v>
      </c>
    </row>
    <row r="242" spans="2:11" ht="15" customHeight="1" x14ac:dyDescent="0.2">
      <c r="B242" s="16" t="s">
        <v>1002</v>
      </c>
      <c r="C242" s="16" t="s">
        <v>1005</v>
      </c>
      <c r="D242" s="46" t="s">
        <v>1051</v>
      </c>
      <c r="E242" s="16" t="s">
        <v>1018</v>
      </c>
      <c r="F242" s="16" t="s">
        <v>1023</v>
      </c>
      <c r="G242" s="16" t="s">
        <v>1030</v>
      </c>
      <c r="H242" s="21" t="s">
        <v>722</v>
      </c>
      <c r="I242" s="18" t="str">
        <f t="shared" ref="I242:I248" si="8">RIGHT(H242,4)</f>
        <v>0ERB</v>
      </c>
      <c r="J242" s="22" t="s">
        <v>271</v>
      </c>
      <c r="K242" s="23"/>
    </row>
    <row r="243" spans="2:11" ht="15" customHeight="1" x14ac:dyDescent="0.2">
      <c r="B243" s="16" t="s">
        <v>1002</v>
      </c>
      <c r="C243" s="16" t="s">
        <v>1005</v>
      </c>
      <c r="D243" s="46" t="s">
        <v>1051</v>
      </c>
      <c r="E243" s="16" t="s">
        <v>1015</v>
      </c>
      <c r="F243" s="16" t="s">
        <v>1023</v>
      </c>
      <c r="G243" s="16" t="s">
        <v>1030</v>
      </c>
      <c r="H243" s="21" t="s">
        <v>723</v>
      </c>
      <c r="I243" s="18" t="str">
        <f t="shared" si="8"/>
        <v>153R</v>
      </c>
      <c r="J243" s="22" t="s">
        <v>271</v>
      </c>
      <c r="K243" s="23"/>
    </row>
    <row r="244" spans="2:11" ht="15" customHeight="1" x14ac:dyDescent="0.2">
      <c r="B244" s="16" t="s">
        <v>1002</v>
      </c>
      <c r="C244" s="16" t="s">
        <v>1005</v>
      </c>
      <c r="D244" s="46" t="s">
        <v>1051</v>
      </c>
      <c r="E244" s="16" t="s">
        <v>1017</v>
      </c>
      <c r="F244" s="16" t="s">
        <v>1023</v>
      </c>
      <c r="G244" s="16" t="s">
        <v>1030</v>
      </c>
      <c r="H244" s="21" t="s">
        <v>724</v>
      </c>
      <c r="I244" s="18" t="str">
        <f t="shared" si="8"/>
        <v>25FR</v>
      </c>
      <c r="J244" s="22" t="s">
        <v>271</v>
      </c>
      <c r="K244" s="23"/>
    </row>
    <row r="245" spans="2:11" ht="15" customHeight="1" x14ac:dyDescent="0.2">
      <c r="B245" s="16" t="s">
        <v>1002</v>
      </c>
      <c r="C245" s="16" t="s">
        <v>1005</v>
      </c>
      <c r="D245" s="46" t="s">
        <v>1051</v>
      </c>
      <c r="E245" s="16" t="s">
        <v>1017</v>
      </c>
      <c r="F245" s="16" t="s">
        <v>1023</v>
      </c>
      <c r="G245" s="16" t="s">
        <v>1030</v>
      </c>
      <c r="H245" s="21" t="s">
        <v>725</v>
      </c>
      <c r="I245" s="18" t="str">
        <f t="shared" si="8"/>
        <v>25RB</v>
      </c>
      <c r="J245" s="22" t="s">
        <v>271</v>
      </c>
      <c r="K245" s="23"/>
    </row>
    <row r="246" spans="2:11" ht="15" customHeight="1" x14ac:dyDescent="0.2">
      <c r="B246" s="16" t="s">
        <v>1002</v>
      </c>
      <c r="C246" s="16" t="s">
        <v>1005</v>
      </c>
      <c r="D246" s="46" t="s">
        <v>1051</v>
      </c>
      <c r="E246" s="16" t="s">
        <v>1017</v>
      </c>
      <c r="F246" s="16" t="s">
        <v>1023</v>
      </c>
      <c r="G246" s="16" t="s">
        <v>1030</v>
      </c>
      <c r="H246" s="21" t="s">
        <v>726</v>
      </c>
      <c r="I246" s="18" t="str">
        <f t="shared" si="8"/>
        <v>27RB</v>
      </c>
      <c r="J246" s="22" t="s">
        <v>271</v>
      </c>
      <c r="K246" s="23"/>
    </row>
    <row r="247" spans="2:11" ht="15" customHeight="1" x14ac:dyDescent="0.2">
      <c r="B247" s="16" t="s">
        <v>1002</v>
      </c>
      <c r="C247" s="16" t="s">
        <v>1005</v>
      </c>
      <c r="D247" s="46" t="s">
        <v>1051</v>
      </c>
      <c r="E247" s="16" t="s">
        <v>1015</v>
      </c>
      <c r="F247" s="16" t="s">
        <v>1023</v>
      </c>
      <c r="G247" s="16" t="s">
        <v>1030</v>
      </c>
      <c r="H247" s="21" t="s">
        <v>727</v>
      </c>
      <c r="I247" s="18" t="str">
        <f t="shared" si="8"/>
        <v>96H0</v>
      </c>
      <c r="J247" s="22" t="s">
        <v>271</v>
      </c>
      <c r="K247" s="23"/>
    </row>
    <row r="248" spans="2:11" ht="15" customHeight="1" x14ac:dyDescent="0.2">
      <c r="B248" s="16" t="s">
        <v>1002</v>
      </c>
      <c r="C248" s="16" t="s">
        <v>1005</v>
      </c>
      <c r="D248" s="46" t="s">
        <v>1051</v>
      </c>
      <c r="E248" s="16" t="s">
        <v>1015</v>
      </c>
      <c r="F248" s="16" t="s">
        <v>1023</v>
      </c>
      <c r="G248" s="16" t="s">
        <v>1030</v>
      </c>
      <c r="H248" s="21" t="s">
        <v>728</v>
      </c>
      <c r="I248" s="18" t="str">
        <f t="shared" si="8"/>
        <v>96RB</v>
      </c>
      <c r="J248" s="22" t="s">
        <v>271</v>
      </c>
      <c r="K248" s="23"/>
    </row>
    <row r="249" spans="2:11" s="13" customFormat="1" ht="15.75" customHeight="1" x14ac:dyDescent="0.25">
      <c r="B249" s="24"/>
      <c r="C249" s="24"/>
      <c r="D249" s="24"/>
      <c r="E249" s="24"/>
      <c r="F249" s="24"/>
      <c r="G249" s="24"/>
      <c r="H249" s="17" t="s">
        <v>323</v>
      </c>
      <c r="I249" s="18"/>
      <c r="J249" s="19" t="s">
        <v>273</v>
      </c>
      <c r="K249" s="20">
        <v>0</v>
      </c>
    </row>
    <row r="250" spans="2:11" s="13" customFormat="1" ht="15.75" customHeight="1" x14ac:dyDescent="0.25">
      <c r="B250" s="24"/>
      <c r="C250" s="24"/>
      <c r="D250" s="24"/>
      <c r="E250" s="24"/>
      <c r="F250" s="24"/>
      <c r="G250" s="24"/>
      <c r="H250" s="17" t="s">
        <v>324</v>
      </c>
      <c r="I250" s="18"/>
      <c r="J250" s="19" t="s">
        <v>275</v>
      </c>
      <c r="K250" s="20">
        <v>0</v>
      </c>
    </row>
    <row r="251" spans="2:11" ht="15" customHeight="1" x14ac:dyDescent="0.2">
      <c r="B251" s="16" t="s">
        <v>1002</v>
      </c>
      <c r="C251" s="16" t="s">
        <v>1005</v>
      </c>
      <c r="D251" s="46" t="s">
        <v>1051</v>
      </c>
      <c r="E251" s="16" t="s">
        <v>1017</v>
      </c>
      <c r="F251" s="16" t="s">
        <v>1023</v>
      </c>
      <c r="G251" s="16" t="s">
        <v>1031</v>
      </c>
      <c r="H251" s="21" t="s">
        <v>325</v>
      </c>
      <c r="I251" s="18" t="str">
        <f>RIGHT(H251,4)</f>
        <v>- 25</v>
      </c>
      <c r="J251" s="22" t="s">
        <v>275</v>
      </c>
      <c r="K251" s="23">
        <v>0</v>
      </c>
    </row>
    <row r="252" spans="2:11" ht="15.75" customHeight="1" x14ac:dyDescent="0.25">
      <c r="B252" s="16"/>
      <c r="C252" s="16"/>
      <c r="D252" s="16"/>
      <c r="E252" s="16"/>
      <c r="F252" s="16"/>
      <c r="G252" s="16"/>
      <c r="H252" s="25" t="s">
        <v>780</v>
      </c>
      <c r="I252" s="25"/>
      <c r="J252" s="25"/>
      <c r="K252" s="26">
        <f>+K208</f>
        <v>594675672654</v>
      </c>
    </row>
    <row r="253" spans="2:11" ht="15" customHeight="1" x14ac:dyDescent="0.2">
      <c r="B253" s="16"/>
      <c r="C253" s="16"/>
      <c r="D253" s="16"/>
      <c r="E253" s="16"/>
      <c r="F253" s="16"/>
      <c r="G253" s="16"/>
      <c r="H253" s="21"/>
      <c r="I253" s="18"/>
      <c r="J253" s="22"/>
      <c r="K253" s="23"/>
    </row>
    <row r="254" spans="2:11" ht="15.75" customHeight="1" x14ac:dyDescent="0.2">
      <c r="B254" s="16"/>
      <c r="C254" s="16"/>
      <c r="D254" s="16"/>
      <c r="E254" s="16"/>
      <c r="F254" s="16"/>
      <c r="G254" s="16"/>
      <c r="H254" s="28" t="s">
        <v>781</v>
      </c>
      <c r="I254" s="29"/>
      <c r="J254" s="30"/>
      <c r="K254" s="34"/>
    </row>
    <row r="255" spans="2:11" ht="16.5" customHeight="1" x14ac:dyDescent="0.2">
      <c r="B255" s="16"/>
      <c r="C255" s="16"/>
      <c r="D255" s="16"/>
      <c r="E255" s="16"/>
      <c r="F255" s="16"/>
      <c r="G255" s="16"/>
      <c r="H255" s="31" t="s">
        <v>778</v>
      </c>
      <c r="I255" s="29"/>
      <c r="J255" s="32" t="s">
        <v>779</v>
      </c>
      <c r="K255" s="33" t="s">
        <v>964</v>
      </c>
    </row>
    <row r="256" spans="2:11" ht="15.75" customHeight="1" x14ac:dyDescent="0.2">
      <c r="B256" s="16"/>
      <c r="C256" s="16"/>
      <c r="D256" s="16"/>
      <c r="E256" s="16"/>
      <c r="F256" s="16"/>
      <c r="G256" s="16"/>
      <c r="H256" s="35" t="s">
        <v>782</v>
      </c>
      <c r="I256" s="29"/>
      <c r="J256" s="36" t="s">
        <v>783</v>
      </c>
      <c r="K256" s="26">
        <v>136834714317</v>
      </c>
    </row>
    <row r="257" spans="2:11" ht="15.75" customHeight="1" x14ac:dyDescent="0.2">
      <c r="B257" s="16"/>
      <c r="C257" s="16"/>
      <c r="D257" s="16"/>
      <c r="E257" s="16"/>
      <c r="F257" s="16"/>
      <c r="G257" s="16"/>
      <c r="H257" s="35" t="s">
        <v>784</v>
      </c>
      <c r="I257" s="29"/>
      <c r="J257" s="36" t="s">
        <v>785</v>
      </c>
      <c r="K257" s="26">
        <v>33824846223</v>
      </c>
    </row>
    <row r="258" spans="2:11" ht="15.75" customHeight="1" x14ac:dyDescent="0.25">
      <c r="B258" s="16"/>
      <c r="C258" s="16"/>
      <c r="D258" s="16"/>
      <c r="E258" s="16"/>
      <c r="F258" s="16"/>
      <c r="G258" s="16"/>
      <c r="H258" s="37" t="s">
        <v>786</v>
      </c>
      <c r="I258" s="38"/>
      <c r="J258" s="39" t="s">
        <v>787</v>
      </c>
      <c r="K258" s="20">
        <v>12212970577</v>
      </c>
    </row>
    <row r="259" spans="2:11" s="13" customFormat="1" ht="15.75" customHeight="1" x14ac:dyDescent="0.25">
      <c r="B259" s="24"/>
      <c r="C259" s="24"/>
      <c r="D259" s="24"/>
      <c r="E259" s="24"/>
      <c r="F259" s="24"/>
      <c r="G259" s="24"/>
      <c r="H259" s="17" t="s">
        <v>326</v>
      </c>
      <c r="I259" s="18"/>
      <c r="J259" s="19" t="s">
        <v>1</v>
      </c>
      <c r="K259" s="20">
        <v>12212970577</v>
      </c>
    </row>
    <row r="260" spans="2:11" s="13" customFormat="1" ht="15.75" customHeight="1" x14ac:dyDescent="0.25">
      <c r="B260" s="24"/>
      <c r="C260" s="24"/>
      <c r="D260" s="24"/>
      <c r="E260" s="24"/>
      <c r="F260" s="24"/>
      <c r="G260" s="24"/>
      <c r="H260" s="17" t="s">
        <v>327</v>
      </c>
      <c r="I260" s="18"/>
      <c r="J260" s="19" t="s">
        <v>3</v>
      </c>
      <c r="K260" s="20">
        <v>12212970577</v>
      </c>
    </row>
    <row r="261" spans="2:11" s="13" customFormat="1" ht="15.75" customHeight="1" x14ac:dyDescent="0.25">
      <c r="B261" s="24"/>
      <c r="C261" s="24"/>
      <c r="D261" s="24"/>
      <c r="E261" s="24"/>
      <c r="F261" s="24"/>
      <c r="G261" s="24"/>
      <c r="H261" s="17" t="s">
        <v>328</v>
      </c>
      <c r="I261" s="18"/>
      <c r="J261" s="19" t="s">
        <v>5</v>
      </c>
      <c r="K261" s="20">
        <v>5775542866</v>
      </c>
    </row>
    <row r="262" spans="2:11" s="13" customFormat="1" ht="15.75" customHeight="1" x14ac:dyDescent="0.25">
      <c r="B262" s="24"/>
      <c r="C262" s="24"/>
      <c r="D262" s="24"/>
      <c r="E262" s="24"/>
      <c r="F262" s="24"/>
      <c r="G262" s="24"/>
      <c r="H262" s="17" t="s">
        <v>329</v>
      </c>
      <c r="I262" s="18"/>
      <c r="J262" s="19" t="s">
        <v>7</v>
      </c>
      <c r="K262" s="20">
        <v>203564312</v>
      </c>
    </row>
    <row r="263" spans="2:11" ht="15" customHeight="1" x14ac:dyDescent="0.2">
      <c r="B263" s="16"/>
      <c r="C263" s="16"/>
      <c r="D263" s="16"/>
      <c r="E263" s="16"/>
      <c r="F263" s="16"/>
      <c r="G263" s="16"/>
      <c r="H263" s="21" t="s">
        <v>330</v>
      </c>
      <c r="I263" s="18"/>
      <c r="J263" s="22" t="s">
        <v>331</v>
      </c>
      <c r="K263" s="23">
        <v>203564312</v>
      </c>
    </row>
    <row r="264" spans="2:11" ht="15" customHeight="1" x14ac:dyDescent="0.2">
      <c r="B264" s="16" t="s">
        <v>1002</v>
      </c>
      <c r="C264" s="16" t="s">
        <v>1006</v>
      </c>
      <c r="D264" s="16" t="s">
        <v>1046</v>
      </c>
      <c r="E264" s="16" t="s">
        <v>1021</v>
      </c>
      <c r="F264" s="16" t="s">
        <v>1022</v>
      </c>
      <c r="G264" s="16" t="s">
        <v>1024</v>
      </c>
      <c r="H264" s="21" t="s">
        <v>332</v>
      </c>
      <c r="I264" s="18" t="str">
        <f>RIGHT(H264,4)</f>
        <v>- 71</v>
      </c>
      <c r="J264" s="22" t="s">
        <v>331</v>
      </c>
      <c r="K264" s="23">
        <v>203564312</v>
      </c>
    </row>
    <row r="265" spans="2:11" s="13" customFormat="1" ht="15.75" customHeight="1" x14ac:dyDescent="0.25">
      <c r="B265" s="24"/>
      <c r="C265" s="24"/>
      <c r="D265" s="24"/>
      <c r="E265" s="24"/>
      <c r="F265" s="24"/>
      <c r="G265" s="24"/>
      <c r="H265" s="17" t="s">
        <v>333</v>
      </c>
      <c r="I265" s="18"/>
      <c r="J265" s="19" t="s">
        <v>14</v>
      </c>
      <c r="K265" s="20">
        <v>5571978554</v>
      </c>
    </row>
    <row r="266" spans="2:11" ht="15" customHeight="1" x14ac:dyDescent="0.2">
      <c r="B266" s="16"/>
      <c r="C266" s="16"/>
      <c r="D266" s="16"/>
      <c r="E266" s="16"/>
      <c r="F266" s="16"/>
      <c r="G266" s="16"/>
      <c r="H266" s="21" t="s">
        <v>334</v>
      </c>
      <c r="I266" s="18"/>
      <c r="J266" s="22" t="s">
        <v>335</v>
      </c>
      <c r="K266" s="23">
        <v>371880629</v>
      </c>
    </row>
    <row r="267" spans="2:11" ht="15" customHeight="1" x14ac:dyDescent="0.2">
      <c r="B267" s="16" t="s">
        <v>1002</v>
      </c>
      <c r="C267" s="16" t="s">
        <v>1006</v>
      </c>
      <c r="D267" s="16" t="s">
        <v>1046</v>
      </c>
      <c r="E267" s="16" t="s">
        <v>1021</v>
      </c>
      <c r="F267" s="16" t="s">
        <v>1022</v>
      </c>
      <c r="G267" s="16" t="s">
        <v>1025</v>
      </c>
      <c r="H267" s="21" t="s">
        <v>336</v>
      </c>
      <c r="I267" s="18" t="str">
        <f>RIGHT(H267,4)</f>
        <v>- 72</v>
      </c>
      <c r="J267" s="22" t="s">
        <v>335</v>
      </c>
      <c r="K267" s="23">
        <v>371880629</v>
      </c>
    </row>
    <row r="268" spans="2:11" ht="15" customHeight="1" x14ac:dyDescent="0.2">
      <c r="B268" s="16"/>
      <c r="C268" s="16"/>
      <c r="D268" s="16"/>
      <c r="E268" s="16"/>
      <c r="F268" s="16"/>
      <c r="G268" s="16"/>
      <c r="H268" s="21" t="s">
        <v>337</v>
      </c>
      <c r="I268" s="18"/>
      <c r="J268" s="22" t="s">
        <v>338</v>
      </c>
      <c r="K268" s="23">
        <v>0</v>
      </c>
    </row>
    <row r="269" spans="2:11" ht="15" customHeight="1" x14ac:dyDescent="0.2">
      <c r="B269" s="16" t="s">
        <v>1002</v>
      </c>
      <c r="C269" s="16" t="s">
        <v>1006</v>
      </c>
      <c r="D269" s="16" t="s">
        <v>1046</v>
      </c>
      <c r="E269" s="16" t="s">
        <v>1021</v>
      </c>
      <c r="F269" s="16" t="s">
        <v>1022</v>
      </c>
      <c r="G269" s="16" t="s">
        <v>1025</v>
      </c>
      <c r="H269" s="21" t="s">
        <v>339</v>
      </c>
      <c r="I269" s="18" t="str">
        <f>RIGHT(H269,4)</f>
        <v xml:space="preserve"> 150</v>
      </c>
      <c r="J269" s="22" t="s">
        <v>338</v>
      </c>
      <c r="K269" s="23">
        <v>0</v>
      </c>
    </row>
    <row r="270" spans="2:11" ht="15" customHeight="1" x14ac:dyDescent="0.2">
      <c r="B270" s="16"/>
      <c r="C270" s="16"/>
      <c r="D270" s="16"/>
      <c r="E270" s="16"/>
      <c r="F270" s="16"/>
      <c r="G270" s="16"/>
      <c r="H270" s="21" t="s">
        <v>340</v>
      </c>
      <c r="I270" s="18"/>
      <c r="J270" s="22" t="s">
        <v>29</v>
      </c>
      <c r="K270" s="23">
        <v>751578099</v>
      </c>
    </row>
    <row r="271" spans="2:11" ht="15" customHeight="1" x14ac:dyDescent="0.2">
      <c r="B271" s="16"/>
      <c r="C271" s="16"/>
      <c r="D271" s="16"/>
      <c r="E271" s="16"/>
      <c r="F271" s="16"/>
      <c r="G271" s="16"/>
      <c r="H271" s="21" t="s">
        <v>341</v>
      </c>
      <c r="I271" s="18"/>
      <c r="J271" s="22" t="s">
        <v>31</v>
      </c>
      <c r="K271" s="23">
        <v>751578099</v>
      </c>
    </row>
    <row r="272" spans="2:11" ht="30" customHeight="1" x14ac:dyDescent="0.2">
      <c r="B272" s="16"/>
      <c r="C272" s="16"/>
      <c r="D272" s="16"/>
      <c r="E272" s="16"/>
      <c r="F272" s="16"/>
      <c r="G272" s="16"/>
      <c r="H272" s="21" t="s">
        <v>342</v>
      </c>
      <c r="I272" s="18"/>
      <c r="J272" s="22" t="s">
        <v>33</v>
      </c>
      <c r="K272" s="23">
        <v>320371442</v>
      </c>
    </row>
    <row r="273" spans="2:11" ht="30" customHeight="1" x14ac:dyDescent="0.2">
      <c r="B273" s="16" t="s">
        <v>1002</v>
      </c>
      <c r="C273" s="16" t="s">
        <v>1006</v>
      </c>
      <c r="D273" s="16" t="s">
        <v>1046</v>
      </c>
      <c r="E273" s="16" t="s">
        <v>1021</v>
      </c>
      <c r="F273" s="16" t="s">
        <v>1022</v>
      </c>
      <c r="G273" s="16" t="s">
        <v>1025</v>
      </c>
      <c r="H273" s="21" t="s">
        <v>343</v>
      </c>
      <c r="I273" s="18" t="str">
        <f>RIGHT(H273,4)</f>
        <v xml:space="preserve"> 150</v>
      </c>
      <c r="J273" s="22" t="s">
        <v>35</v>
      </c>
      <c r="K273" s="23">
        <v>124968007</v>
      </c>
    </row>
    <row r="274" spans="2:11" ht="14.1" customHeight="1" x14ac:dyDescent="0.2">
      <c r="B274" s="16" t="s">
        <v>1002</v>
      </c>
      <c r="C274" s="16" t="s">
        <v>1006</v>
      </c>
      <c r="D274" s="16" t="s">
        <v>1046</v>
      </c>
      <c r="E274" s="16" t="s">
        <v>1021</v>
      </c>
      <c r="F274" s="16" t="s">
        <v>1022</v>
      </c>
      <c r="G274" s="16" t="s">
        <v>1025</v>
      </c>
      <c r="H274" s="21" t="s">
        <v>344</v>
      </c>
      <c r="I274" s="18" t="str">
        <f>RIGHT(H274,4)</f>
        <v xml:space="preserve"> 150</v>
      </c>
      <c r="J274" s="22" t="s">
        <v>38</v>
      </c>
      <c r="K274" s="23">
        <v>195403435</v>
      </c>
    </row>
    <row r="275" spans="2:11" ht="30" customHeight="1" x14ac:dyDescent="0.2">
      <c r="B275" s="16"/>
      <c r="C275" s="16"/>
      <c r="D275" s="16"/>
      <c r="E275" s="16"/>
      <c r="F275" s="16"/>
      <c r="G275" s="16"/>
      <c r="H275" s="21" t="s">
        <v>345</v>
      </c>
      <c r="I275" s="18"/>
      <c r="J275" s="22" t="s">
        <v>41</v>
      </c>
      <c r="K275" s="23">
        <v>431206657</v>
      </c>
    </row>
    <row r="276" spans="2:11" ht="30" customHeight="1" x14ac:dyDescent="0.2">
      <c r="B276" s="16" t="s">
        <v>1002</v>
      </c>
      <c r="C276" s="16" t="s">
        <v>1006</v>
      </c>
      <c r="D276" s="16" t="s">
        <v>1046</v>
      </c>
      <c r="E276" s="16" t="s">
        <v>1021</v>
      </c>
      <c r="F276" s="16" t="s">
        <v>1022</v>
      </c>
      <c r="G276" s="16" t="s">
        <v>1025</v>
      </c>
      <c r="H276" s="21" t="s">
        <v>346</v>
      </c>
      <c r="I276" s="18" t="str">
        <f>RIGHT(H276,4)</f>
        <v xml:space="preserve"> 150</v>
      </c>
      <c r="J276" s="22" t="s">
        <v>43</v>
      </c>
      <c r="K276" s="23">
        <v>138101501</v>
      </c>
    </row>
    <row r="277" spans="2:11" ht="17.45" customHeight="1" x14ac:dyDescent="0.2">
      <c r="B277" s="16" t="s">
        <v>1002</v>
      </c>
      <c r="C277" s="16" t="s">
        <v>1006</v>
      </c>
      <c r="D277" s="16" t="s">
        <v>1046</v>
      </c>
      <c r="E277" s="16" t="s">
        <v>1021</v>
      </c>
      <c r="F277" s="16" t="s">
        <v>1022</v>
      </c>
      <c r="G277" s="16" t="s">
        <v>1025</v>
      </c>
      <c r="H277" s="21" t="s">
        <v>347</v>
      </c>
      <c r="I277" s="18" t="str">
        <f>RIGHT(H277,4)</f>
        <v xml:space="preserve"> 150</v>
      </c>
      <c r="J277" s="22" t="s">
        <v>46</v>
      </c>
      <c r="K277" s="23">
        <v>293105156</v>
      </c>
    </row>
    <row r="278" spans="2:11" ht="15" customHeight="1" x14ac:dyDescent="0.2">
      <c r="B278" s="16"/>
      <c r="C278" s="16"/>
      <c r="D278" s="16"/>
      <c r="E278" s="16"/>
      <c r="F278" s="16"/>
      <c r="G278" s="16"/>
      <c r="H278" s="21" t="s">
        <v>348</v>
      </c>
      <c r="I278" s="18"/>
      <c r="J278" s="22" t="s">
        <v>49</v>
      </c>
      <c r="K278" s="23">
        <v>4448519826</v>
      </c>
    </row>
    <row r="279" spans="2:11" ht="15" customHeight="1" x14ac:dyDescent="0.2">
      <c r="B279" s="16"/>
      <c r="C279" s="16"/>
      <c r="D279" s="16"/>
      <c r="E279" s="16"/>
      <c r="F279" s="16"/>
      <c r="G279" s="16"/>
      <c r="H279" s="21" t="s">
        <v>349</v>
      </c>
      <c r="I279" s="18"/>
      <c r="J279" s="22" t="s">
        <v>51</v>
      </c>
      <c r="K279" s="23">
        <v>4446770946</v>
      </c>
    </row>
    <row r="280" spans="2:11" ht="15" customHeight="1" x14ac:dyDescent="0.2">
      <c r="B280" s="16" t="s">
        <v>1002</v>
      </c>
      <c r="C280" s="16" t="s">
        <v>1006</v>
      </c>
      <c r="D280" s="16" t="s">
        <v>1046</v>
      </c>
      <c r="E280" s="16" t="s">
        <v>1021</v>
      </c>
      <c r="F280" s="16" t="s">
        <v>1022</v>
      </c>
      <c r="G280" s="16" t="s">
        <v>1025</v>
      </c>
      <c r="H280" s="21" t="s">
        <v>350</v>
      </c>
      <c r="I280" s="18" t="str">
        <f>RIGHT(H280,4)</f>
        <v>- 29</v>
      </c>
      <c r="J280" s="22" t="s">
        <v>51</v>
      </c>
      <c r="K280" s="23">
        <v>4446770946</v>
      </c>
    </row>
    <row r="281" spans="2:11" ht="15" customHeight="1" x14ac:dyDescent="0.2">
      <c r="B281" s="16"/>
      <c r="C281" s="16"/>
      <c r="D281" s="16"/>
      <c r="E281" s="16"/>
      <c r="F281" s="16"/>
      <c r="G281" s="16"/>
      <c r="H281" s="21" t="s">
        <v>351</v>
      </c>
      <c r="I281" s="18"/>
      <c r="J281" s="22" t="s">
        <v>54</v>
      </c>
      <c r="K281" s="23">
        <v>1748880</v>
      </c>
    </row>
    <row r="282" spans="2:11" ht="15" customHeight="1" x14ac:dyDescent="0.2">
      <c r="B282" s="16" t="s">
        <v>1002</v>
      </c>
      <c r="C282" s="16" t="s">
        <v>1006</v>
      </c>
      <c r="D282" s="16" t="s">
        <v>1046</v>
      </c>
      <c r="E282" s="16" t="s">
        <v>1021</v>
      </c>
      <c r="F282" s="16" t="s">
        <v>1022</v>
      </c>
      <c r="G282" s="16" t="s">
        <v>1025</v>
      </c>
      <c r="H282" s="21" t="s">
        <v>352</v>
      </c>
      <c r="I282" s="18" t="str">
        <f>RIGHT(H282,4)</f>
        <v>- 29</v>
      </c>
      <c r="J282" s="22" t="s">
        <v>54</v>
      </c>
      <c r="K282" s="23">
        <v>1748880</v>
      </c>
    </row>
    <row r="283" spans="2:11" s="13" customFormat="1" ht="15.75" customHeight="1" x14ac:dyDescent="0.25">
      <c r="B283" s="24"/>
      <c r="C283" s="24"/>
      <c r="D283" s="24"/>
      <c r="E283" s="24"/>
      <c r="F283" s="24"/>
      <c r="G283" s="24"/>
      <c r="H283" s="17" t="s">
        <v>353</v>
      </c>
      <c r="I283" s="18"/>
      <c r="J283" s="19" t="s">
        <v>86</v>
      </c>
      <c r="K283" s="20">
        <v>6437427711</v>
      </c>
    </row>
    <row r="284" spans="2:11" s="13" customFormat="1" ht="15.75" customHeight="1" x14ac:dyDescent="0.25">
      <c r="B284" s="24"/>
      <c r="C284" s="24"/>
      <c r="D284" s="24"/>
      <c r="E284" s="24"/>
      <c r="F284" s="24"/>
      <c r="G284" s="24"/>
      <c r="H284" s="17" t="s">
        <v>354</v>
      </c>
      <c r="I284" s="18"/>
      <c r="J284" s="19" t="s">
        <v>355</v>
      </c>
      <c r="K284" s="20">
        <v>16326200</v>
      </c>
    </row>
    <row r="285" spans="2:11" ht="15" customHeight="1" x14ac:dyDescent="0.2">
      <c r="B285" s="16"/>
      <c r="C285" s="16"/>
      <c r="D285" s="16"/>
      <c r="E285" s="16"/>
      <c r="F285" s="16"/>
      <c r="G285" s="16"/>
      <c r="H285" s="21" t="s">
        <v>356</v>
      </c>
      <c r="I285" s="18"/>
      <c r="J285" s="22" t="s">
        <v>357</v>
      </c>
      <c r="K285" s="23">
        <v>16326200</v>
      </c>
    </row>
    <row r="286" spans="2:11" ht="15" customHeight="1" x14ac:dyDescent="0.2">
      <c r="B286" s="16" t="s">
        <v>1002</v>
      </c>
      <c r="C286" s="16" t="s">
        <v>1006</v>
      </c>
      <c r="D286" s="16" t="s">
        <v>1046</v>
      </c>
      <c r="E286" s="16" t="s">
        <v>1021</v>
      </c>
      <c r="F286" s="16" t="s">
        <v>1022</v>
      </c>
      <c r="G286" s="16" t="s">
        <v>1025</v>
      </c>
      <c r="H286" s="21" t="s">
        <v>358</v>
      </c>
      <c r="I286" s="18" t="str">
        <f>RIGHT(H286,4)</f>
        <v>- 34</v>
      </c>
      <c r="J286" s="22" t="s">
        <v>359</v>
      </c>
      <c r="K286" s="23">
        <v>16326200</v>
      </c>
    </row>
    <row r="287" spans="2:11" s="13" customFormat="1" ht="15.75" customHeight="1" x14ac:dyDescent="0.25">
      <c r="B287" s="24"/>
      <c r="C287" s="24"/>
      <c r="D287" s="24"/>
      <c r="E287" s="24"/>
      <c r="F287" s="24"/>
      <c r="G287" s="24"/>
      <c r="H287" s="17" t="s">
        <v>360</v>
      </c>
      <c r="I287" s="18"/>
      <c r="J287" s="19" t="s">
        <v>195</v>
      </c>
      <c r="K287" s="20">
        <v>6421101511</v>
      </c>
    </row>
    <row r="288" spans="2:11" ht="15" customHeight="1" x14ac:dyDescent="0.2">
      <c r="B288" s="16"/>
      <c r="C288" s="16"/>
      <c r="D288" s="16"/>
      <c r="E288" s="16"/>
      <c r="F288" s="16"/>
      <c r="G288" s="16"/>
      <c r="H288" s="21" t="s">
        <v>361</v>
      </c>
      <c r="I288" s="18"/>
      <c r="J288" s="22" t="s">
        <v>362</v>
      </c>
      <c r="K288" s="23">
        <v>3238509763</v>
      </c>
    </row>
    <row r="289" spans="2:11" ht="15" customHeight="1" x14ac:dyDescent="0.2">
      <c r="B289" s="16"/>
      <c r="C289" s="16"/>
      <c r="D289" s="16"/>
      <c r="E289" s="16"/>
      <c r="F289" s="16"/>
      <c r="G289" s="16"/>
      <c r="H289" s="21" t="s">
        <v>363</v>
      </c>
      <c r="I289" s="18"/>
      <c r="J289" s="22" t="s">
        <v>364</v>
      </c>
      <c r="K289" s="23">
        <v>529041108</v>
      </c>
    </row>
    <row r="290" spans="2:11" ht="15" customHeight="1" x14ac:dyDescent="0.2">
      <c r="B290" s="16" t="s">
        <v>1002</v>
      </c>
      <c r="C290" s="16" t="s">
        <v>1006</v>
      </c>
      <c r="D290" s="16" t="s">
        <v>1046</v>
      </c>
      <c r="E290" s="16" t="s">
        <v>1021</v>
      </c>
      <c r="F290" s="16" t="s">
        <v>1022</v>
      </c>
      <c r="G290" s="16" t="s">
        <v>1025</v>
      </c>
      <c r="H290" s="21" t="s">
        <v>365</v>
      </c>
      <c r="I290" s="18" t="str">
        <f t="shared" ref="I290:I296" si="9">RIGHT(H290,4)</f>
        <v>- 71</v>
      </c>
      <c r="J290" s="22" t="s">
        <v>364</v>
      </c>
      <c r="K290" s="23">
        <v>529041108</v>
      </c>
    </row>
    <row r="291" spans="2:11" ht="30" customHeight="1" x14ac:dyDescent="0.2">
      <c r="B291" s="16"/>
      <c r="C291" s="16"/>
      <c r="D291" s="16"/>
      <c r="E291" s="16"/>
      <c r="F291" s="16"/>
      <c r="G291" s="16"/>
      <c r="H291" s="21" t="s">
        <v>366</v>
      </c>
      <c r="I291" s="18"/>
      <c r="J291" s="22" t="s">
        <v>367</v>
      </c>
      <c r="K291" s="23">
        <v>1976205363</v>
      </c>
    </row>
    <row r="292" spans="2:11" ht="30" customHeight="1" x14ac:dyDescent="0.2">
      <c r="B292" s="16" t="s">
        <v>1002</v>
      </c>
      <c r="C292" s="16" t="s">
        <v>1006</v>
      </c>
      <c r="D292" s="16" t="s">
        <v>1046</v>
      </c>
      <c r="E292" s="16" t="s">
        <v>1021</v>
      </c>
      <c r="F292" s="16" t="s">
        <v>1022</v>
      </c>
      <c r="G292" s="16" t="s">
        <v>1025</v>
      </c>
      <c r="H292" s="21" t="s">
        <v>368</v>
      </c>
      <c r="I292" s="18" t="str">
        <f t="shared" si="9"/>
        <v>- 70</v>
      </c>
      <c r="J292" s="22" t="s">
        <v>367</v>
      </c>
      <c r="K292" s="23">
        <v>1976205363</v>
      </c>
    </row>
    <row r="293" spans="2:11" ht="30" customHeight="1" x14ac:dyDescent="0.2">
      <c r="B293" s="16"/>
      <c r="C293" s="16"/>
      <c r="D293" s="16"/>
      <c r="E293" s="16"/>
      <c r="F293" s="16"/>
      <c r="G293" s="16"/>
      <c r="H293" s="21" t="s">
        <v>369</v>
      </c>
      <c r="I293" s="18"/>
      <c r="J293" s="22" t="s">
        <v>370</v>
      </c>
      <c r="K293" s="23">
        <v>13906851</v>
      </c>
    </row>
    <row r="294" spans="2:11" ht="30" customHeight="1" x14ac:dyDescent="0.2">
      <c r="B294" s="16" t="s">
        <v>1002</v>
      </c>
      <c r="C294" s="16" t="s">
        <v>1006</v>
      </c>
      <c r="D294" s="16" t="s">
        <v>1046</v>
      </c>
      <c r="E294" s="16" t="s">
        <v>1021</v>
      </c>
      <c r="F294" s="16" t="s">
        <v>1022</v>
      </c>
      <c r="G294" s="16" t="s">
        <v>1025</v>
      </c>
      <c r="H294" s="21" t="s">
        <v>371</v>
      </c>
      <c r="I294" s="18" t="str">
        <f t="shared" si="9"/>
        <v xml:space="preserve"> 103</v>
      </c>
      <c r="J294" s="22" t="s">
        <v>370</v>
      </c>
      <c r="K294" s="23">
        <v>13906851</v>
      </c>
    </row>
    <row r="295" spans="2:11" ht="15" customHeight="1" x14ac:dyDescent="0.2">
      <c r="B295" s="16"/>
      <c r="C295" s="16"/>
      <c r="D295" s="16"/>
      <c r="E295" s="16"/>
      <c r="F295" s="16"/>
      <c r="G295" s="16"/>
      <c r="H295" s="21" t="s">
        <v>372</v>
      </c>
      <c r="I295" s="18"/>
      <c r="J295" s="22" t="s">
        <v>373</v>
      </c>
      <c r="K295" s="23">
        <v>719356441</v>
      </c>
    </row>
    <row r="296" spans="2:11" ht="15" customHeight="1" x14ac:dyDescent="0.2">
      <c r="B296" s="16" t="s">
        <v>1002</v>
      </c>
      <c r="C296" s="16" t="s">
        <v>1006</v>
      </c>
      <c r="D296" s="16" t="s">
        <v>1046</v>
      </c>
      <c r="E296" s="16" t="s">
        <v>1021</v>
      </c>
      <c r="F296" s="16" t="s">
        <v>1022</v>
      </c>
      <c r="G296" s="16" t="s">
        <v>1025</v>
      </c>
      <c r="H296" s="21" t="s">
        <v>374</v>
      </c>
      <c r="I296" s="18" t="str">
        <f t="shared" si="9"/>
        <v>- 89</v>
      </c>
      <c r="J296" s="22" t="s">
        <v>373</v>
      </c>
      <c r="K296" s="23">
        <v>719356441</v>
      </c>
    </row>
    <row r="297" spans="2:11" ht="30" customHeight="1" x14ac:dyDescent="0.2">
      <c r="B297" s="16"/>
      <c r="C297" s="16"/>
      <c r="D297" s="16"/>
      <c r="E297" s="16"/>
      <c r="F297" s="16"/>
      <c r="G297" s="16"/>
      <c r="H297" s="21" t="s">
        <v>375</v>
      </c>
      <c r="I297" s="18"/>
      <c r="J297" s="22" t="s">
        <v>197</v>
      </c>
      <c r="K297" s="23">
        <v>3182591748</v>
      </c>
    </row>
    <row r="298" spans="2:11" ht="30" customHeight="1" x14ac:dyDescent="0.2">
      <c r="B298" s="16"/>
      <c r="C298" s="16"/>
      <c r="D298" s="16"/>
      <c r="E298" s="16"/>
      <c r="F298" s="16"/>
      <c r="G298" s="16"/>
      <c r="H298" s="21" t="s">
        <v>376</v>
      </c>
      <c r="I298" s="18"/>
      <c r="J298" s="22" t="s">
        <v>199</v>
      </c>
      <c r="K298" s="23">
        <v>3182591748</v>
      </c>
    </row>
    <row r="299" spans="2:11" ht="15" customHeight="1" x14ac:dyDescent="0.2">
      <c r="B299" s="16"/>
      <c r="C299" s="16"/>
      <c r="D299" s="16"/>
      <c r="E299" s="16"/>
      <c r="F299" s="16"/>
      <c r="G299" s="16"/>
      <c r="H299" s="21" t="s">
        <v>377</v>
      </c>
      <c r="I299" s="18"/>
      <c r="J299" s="22" t="s">
        <v>201</v>
      </c>
      <c r="K299" s="23">
        <v>175245118</v>
      </c>
    </row>
    <row r="300" spans="2:11" ht="30" customHeight="1" x14ac:dyDescent="0.2">
      <c r="B300" s="16"/>
      <c r="C300" s="16"/>
      <c r="D300" s="16"/>
      <c r="E300" s="16"/>
      <c r="F300" s="16"/>
      <c r="G300" s="16"/>
      <c r="H300" s="21" t="s">
        <v>378</v>
      </c>
      <c r="I300" s="18"/>
      <c r="J300" s="22" t="s">
        <v>203</v>
      </c>
      <c r="K300" s="23">
        <v>124184943</v>
      </c>
    </row>
    <row r="301" spans="2:11" ht="30" customHeight="1" x14ac:dyDescent="0.2">
      <c r="B301" s="16" t="s">
        <v>1002</v>
      </c>
      <c r="C301" s="16" t="s">
        <v>1006</v>
      </c>
      <c r="D301" s="16" t="s">
        <v>1046</v>
      </c>
      <c r="E301" s="16" t="s">
        <v>1021</v>
      </c>
      <c r="F301" s="16" t="s">
        <v>1022</v>
      </c>
      <c r="G301" s="16" t="s">
        <v>1025</v>
      </c>
      <c r="H301" s="21" t="s">
        <v>379</v>
      </c>
      <c r="I301" s="18" t="str">
        <f>RIGHT(H301,4)</f>
        <v xml:space="preserve"> 150</v>
      </c>
      <c r="J301" s="22" t="s">
        <v>203</v>
      </c>
      <c r="K301" s="23">
        <v>124184943</v>
      </c>
    </row>
    <row r="302" spans="2:11" ht="30" customHeight="1" x14ac:dyDescent="0.2">
      <c r="B302" s="16"/>
      <c r="C302" s="16"/>
      <c r="D302" s="16"/>
      <c r="E302" s="16"/>
      <c r="F302" s="16"/>
      <c r="G302" s="16"/>
      <c r="H302" s="21" t="s">
        <v>380</v>
      </c>
      <c r="I302" s="18"/>
      <c r="J302" s="22" t="s">
        <v>207</v>
      </c>
      <c r="K302" s="23">
        <v>51060175</v>
      </c>
    </row>
    <row r="303" spans="2:11" ht="30" customHeight="1" x14ac:dyDescent="0.2">
      <c r="B303" s="16" t="s">
        <v>1002</v>
      </c>
      <c r="C303" s="16" t="s">
        <v>1006</v>
      </c>
      <c r="D303" s="16" t="s">
        <v>1046</v>
      </c>
      <c r="E303" s="16" t="s">
        <v>1021</v>
      </c>
      <c r="F303" s="16" t="s">
        <v>1022</v>
      </c>
      <c r="G303" s="16" t="s">
        <v>1025</v>
      </c>
      <c r="H303" s="21" t="s">
        <v>381</v>
      </c>
      <c r="I303" s="18" t="str">
        <f>RIGHT(H303,4)</f>
        <v xml:space="preserve"> 150</v>
      </c>
      <c r="J303" s="22" t="s">
        <v>207</v>
      </c>
      <c r="K303" s="23">
        <v>51060175</v>
      </c>
    </row>
    <row r="304" spans="2:11" ht="15" customHeight="1" x14ac:dyDescent="0.2">
      <c r="B304" s="16"/>
      <c r="C304" s="16"/>
      <c r="D304" s="16"/>
      <c r="E304" s="16"/>
      <c r="F304" s="16"/>
      <c r="G304" s="16"/>
      <c r="H304" s="21" t="s">
        <v>382</v>
      </c>
      <c r="I304" s="18"/>
      <c r="J304" s="22" t="s">
        <v>211</v>
      </c>
      <c r="K304" s="23">
        <v>3007346630</v>
      </c>
    </row>
    <row r="305" spans="2:11" ht="15" customHeight="1" x14ac:dyDescent="0.2">
      <c r="B305" s="16"/>
      <c r="C305" s="16"/>
      <c r="D305" s="16"/>
      <c r="E305" s="16"/>
      <c r="F305" s="16"/>
      <c r="G305" s="16"/>
      <c r="H305" s="21" t="s">
        <v>383</v>
      </c>
      <c r="I305" s="18"/>
      <c r="J305" s="22" t="s">
        <v>213</v>
      </c>
      <c r="K305" s="23">
        <v>3007346630</v>
      </c>
    </row>
    <row r="306" spans="2:11" ht="30" customHeight="1" x14ac:dyDescent="0.2">
      <c r="B306" s="16"/>
      <c r="C306" s="16"/>
      <c r="D306" s="16"/>
      <c r="E306" s="16"/>
      <c r="F306" s="16"/>
      <c r="G306" s="16"/>
      <c r="H306" s="21" t="s">
        <v>384</v>
      </c>
      <c r="I306" s="18"/>
      <c r="J306" s="22" t="s">
        <v>215</v>
      </c>
      <c r="K306" s="23">
        <v>1995824348</v>
      </c>
    </row>
    <row r="307" spans="2:11" ht="30" customHeight="1" x14ac:dyDescent="0.2">
      <c r="B307" s="16" t="s">
        <v>1002</v>
      </c>
      <c r="C307" s="16" t="s">
        <v>1006</v>
      </c>
      <c r="D307" s="16" t="s">
        <v>1046</v>
      </c>
      <c r="E307" s="16" t="s">
        <v>1021</v>
      </c>
      <c r="F307" s="16" t="s">
        <v>1022</v>
      </c>
      <c r="G307" s="16" t="s">
        <v>1025</v>
      </c>
      <c r="H307" s="21" t="s">
        <v>385</v>
      </c>
      <c r="I307" s="18" t="str">
        <f>RIGHT(H307,4)</f>
        <v xml:space="preserve"> 150</v>
      </c>
      <c r="J307" s="22" t="s">
        <v>215</v>
      </c>
      <c r="K307" s="23">
        <v>1995824348</v>
      </c>
    </row>
    <row r="308" spans="2:11" ht="30" customHeight="1" x14ac:dyDescent="0.2">
      <c r="B308" s="16"/>
      <c r="C308" s="16"/>
      <c r="D308" s="16"/>
      <c r="E308" s="16"/>
      <c r="F308" s="16"/>
      <c r="G308" s="16"/>
      <c r="H308" s="21" t="s">
        <v>386</v>
      </c>
      <c r="I308" s="18"/>
      <c r="J308" s="22" t="s">
        <v>219</v>
      </c>
      <c r="K308" s="23">
        <v>1011522282</v>
      </c>
    </row>
    <row r="309" spans="2:11" ht="30" customHeight="1" x14ac:dyDescent="0.2">
      <c r="B309" s="16"/>
      <c r="C309" s="16"/>
      <c r="D309" s="16"/>
      <c r="E309" s="16"/>
      <c r="F309" s="16"/>
      <c r="G309" s="16"/>
      <c r="H309" s="21" t="s">
        <v>387</v>
      </c>
      <c r="I309" s="18"/>
      <c r="J309" s="22" t="s">
        <v>221</v>
      </c>
      <c r="K309" s="23">
        <v>1011522282</v>
      </c>
    </row>
    <row r="310" spans="2:11" ht="30" customHeight="1" x14ac:dyDescent="0.2">
      <c r="B310" s="16" t="s">
        <v>1002</v>
      </c>
      <c r="C310" s="16" t="s">
        <v>1006</v>
      </c>
      <c r="D310" s="16" t="s">
        <v>1046</v>
      </c>
      <c r="E310" s="16" t="s">
        <v>1021</v>
      </c>
      <c r="F310" s="16" t="s">
        <v>1022</v>
      </c>
      <c r="G310" s="16" t="s">
        <v>1025</v>
      </c>
      <c r="H310" s="21" t="s">
        <v>388</v>
      </c>
      <c r="I310" s="18" t="str">
        <f>RIGHT(H310,4)</f>
        <v xml:space="preserve"> 150</v>
      </c>
      <c r="J310" s="22" t="s">
        <v>221</v>
      </c>
      <c r="K310" s="23">
        <v>1011522282</v>
      </c>
    </row>
    <row r="311" spans="2:11" s="13" customFormat="1" ht="15.75" customHeight="1" x14ac:dyDescent="0.25">
      <c r="B311" s="24"/>
      <c r="C311" s="24"/>
      <c r="D311" s="24"/>
      <c r="E311" s="24"/>
      <c r="F311" s="24"/>
      <c r="G311" s="24"/>
      <c r="H311" s="17" t="s">
        <v>389</v>
      </c>
      <c r="I311" s="18"/>
      <c r="J311" s="19" t="s">
        <v>225</v>
      </c>
      <c r="K311" s="20">
        <v>0</v>
      </c>
    </row>
    <row r="312" spans="2:11" s="13" customFormat="1" ht="15.75" customHeight="1" x14ac:dyDescent="0.25">
      <c r="B312" s="24"/>
      <c r="C312" s="24"/>
      <c r="D312" s="24"/>
      <c r="E312" s="24"/>
      <c r="F312" s="24"/>
      <c r="G312" s="24"/>
      <c r="H312" s="17" t="s">
        <v>390</v>
      </c>
      <c r="I312" s="18"/>
      <c r="J312" s="19" t="s">
        <v>239</v>
      </c>
      <c r="K312" s="20">
        <v>0</v>
      </c>
    </row>
    <row r="313" spans="2:11" s="13" customFormat="1" ht="15.75" customHeight="1" x14ac:dyDescent="0.25">
      <c r="B313" s="24"/>
      <c r="C313" s="24"/>
      <c r="D313" s="24"/>
      <c r="E313" s="24"/>
      <c r="F313" s="24"/>
      <c r="G313" s="24"/>
      <c r="H313" s="17" t="s">
        <v>391</v>
      </c>
      <c r="I313" s="18"/>
      <c r="J313" s="19" t="s">
        <v>241</v>
      </c>
      <c r="K313" s="20">
        <v>0</v>
      </c>
    </row>
    <row r="314" spans="2:11" ht="15" customHeight="1" x14ac:dyDescent="0.2">
      <c r="B314" s="16" t="s">
        <v>1002</v>
      </c>
      <c r="C314" s="16" t="s">
        <v>1006</v>
      </c>
      <c r="D314" s="16" t="s">
        <v>1046</v>
      </c>
      <c r="E314" s="16" t="s">
        <v>1021</v>
      </c>
      <c r="F314" s="16" t="s">
        <v>1023</v>
      </c>
      <c r="G314" s="16" t="s">
        <v>1028</v>
      </c>
      <c r="H314" s="21" t="s">
        <v>392</v>
      </c>
      <c r="I314" s="18" t="str">
        <f>RIGHT(H314,4)</f>
        <v>150F</v>
      </c>
      <c r="J314" s="22" t="s">
        <v>241</v>
      </c>
      <c r="K314" s="23">
        <v>0</v>
      </c>
    </row>
    <row r="315" spans="2:11" ht="15" customHeight="1" x14ac:dyDescent="0.2">
      <c r="B315" s="16" t="s">
        <v>1002</v>
      </c>
      <c r="C315" s="16" t="s">
        <v>1006</v>
      </c>
      <c r="D315" s="16" t="s">
        <v>1046</v>
      </c>
      <c r="E315" s="16" t="s">
        <v>1021</v>
      </c>
      <c r="F315" s="16" t="s">
        <v>1023</v>
      </c>
      <c r="G315" s="16" t="s">
        <v>1028</v>
      </c>
      <c r="H315" s="21" t="s">
        <v>393</v>
      </c>
      <c r="I315" s="18" t="str">
        <f>RIGHT(H315,4)</f>
        <v xml:space="preserve"> 29F</v>
      </c>
      <c r="J315" s="22" t="s">
        <v>241</v>
      </c>
      <c r="K315" s="23">
        <v>0</v>
      </c>
    </row>
    <row r="316" spans="2:11" ht="15" customHeight="1" x14ac:dyDescent="0.2">
      <c r="B316" s="16" t="s">
        <v>1002</v>
      </c>
      <c r="C316" s="16" t="s">
        <v>1006</v>
      </c>
      <c r="D316" s="16" t="s">
        <v>1046</v>
      </c>
      <c r="E316" s="16" t="s">
        <v>1021</v>
      </c>
      <c r="F316" s="16" t="s">
        <v>1023</v>
      </c>
      <c r="G316" s="16" t="s">
        <v>1028</v>
      </c>
      <c r="H316" s="21" t="s">
        <v>394</v>
      </c>
      <c r="I316" s="18" t="str">
        <f>RIGHT(H316,4)</f>
        <v xml:space="preserve"> 70F</v>
      </c>
      <c r="J316" s="22" t="s">
        <v>241</v>
      </c>
      <c r="K316" s="23">
        <v>0</v>
      </c>
    </row>
    <row r="317" spans="2:11" ht="15" customHeight="1" x14ac:dyDescent="0.2">
      <c r="B317" s="16" t="s">
        <v>1002</v>
      </c>
      <c r="C317" s="16" t="s">
        <v>1006</v>
      </c>
      <c r="D317" s="16" t="s">
        <v>1046</v>
      </c>
      <c r="E317" s="16" t="s">
        <v>1021</v>
      </c>
      <c r="F317" s="16" t="s">
        <v>1023</v>
      </c>
      <c r="G317" s="16" t="s">
        <v>1028</v>
      </c>
      <c r="H317" s="21" t="s">
        <v>395</v>
      </c>
      <c r="I317" s="18" t="str">
        <f>RIGHT(H317,4)</f>
        <v xml:space="preserve"> 71F</v>
      </c>
      <c r="J317" s="22" t="s">
        <v>241</v>
      </c>
      <c r="K317" s="23">
        <v>0</v>
      </c>
    </row>
    <row r="318" spans="2:11" s="13" customFormat="1" ht="15.75" customHeight="1" x14ac:dyDescent="0.25">
      <c r="B318" s="24"/>
      <c r="C318" s="24"/>
      <c r="D318" s="24"/>
      <c r="E318" s="24"/>
      <c r="F318" s="24"/>
      <c r="G318" s="24"/>
      <c r="H318" s="17" t="s">
        <v>396</v>
      </c>
      <c r="I318" s="18"/>
      <c r="J318" s="19" t="s">
        <v>267</v>
      </c>
      <c r="K318" s="20">
        <v>0</v>
      </c>
    </row>
    <row r="319" spans="2:11" s="13" customFormat="1" ht="15.75" customHeight="1" x14ac:dyDescent="0.25">
      <c r="B319" s="24"/>
      <c r="C319" s="24"/>
      <c r="D319" s="24"/>
      <c r="E319" s="24"/>
      <c r="F319" s="24"/>
      <c r="G319" s="24"/>
      <c r="H319" s="17" t="s">
        <v>397</v>
      </c>
      <c r="I319" s="18"/>
      <c r="J319" s="19" t="s">
        <v>271</v>
      </c>
      <c r="K319" s="20">
        <v>0</v>
      </c>
    </row>
    <row r="320" spans="2:11" ht="15" customHeight="1" x14ac:dyDescent="0.2">
      <c r="B320" s="16" t="s">
        <v>1002</v>
      </c>
      <c r="C320" s="16" t="s">
        <v>1006</v>
      </c>
      <c r="D320" s="16" t="s">
        <v>1046</v>
      </c>
      <c r="E320" s="16" t="s">
        <v>1021</v>
      </c>
      <c r="F320" s="16" t="s">
        <v>1023</v>
      </c>
      <c r="G320" s="16" t="s">
        <v>1030</v>
      </c>
      <c r="H320" s="21" t="s">
        <v>398</v>
      </c>
      <c r="I320" s="18" t="str">
        <f>RIGHT(H320,4)</f>
        <v>34RB</v>
      </c>
      <c r="J320" s="22" t="s">
        <v>271</v>
      </c>
      <c r="K320" s="23">
        <v>0</v>
      </c>
    </row>
    <row r="321" spans="2:11" s="13" customFormat="1" ht="15.75" customHeight="1" x14ac:dyDescent="0.25">
      <c r="B321" s="24"/>
      <c r="C321" s="24"/>
      <c r="D321" s="24"/>
      <c r="E321" s="24"/>
      <c r="F321" s="24"/>
      <c r="G321" s="24"/>
      <c r="H321" s="17" t="s">
        <v>399</v>
      </c>
      <c r="I321" s="18"/>
      <c r="J321" s="19" t="s">
        <v>273</v>
      </c>
      <c r="K321" s="20">
        <v>0</v>
      </c>
    </row>
    <row r="322" spans="2:11" s="13" customFormat="1" ht="15.75" customHeight="1" x14ac:dyDescent="0.25">
      <c r="B322" s="24"/>
      <c r="C322" s="24"/>
      <c r="D322" s="24"/>
      <c r="E322" s="24"/>
      <c r="F322" s="24"/>
      <c r="G322" s="24"/>
      <c r="H322" s="17" t="s">
        <v>400</v>
      </c>
      <c r="I322" s="18"/>
      <c r="J322" s="19" t="s">
        <v>275</v>
      </c>
      <c r="K322" s="20">
        <v>0</v>
      </c>
    </row>
    <row r="323" spans="2:11" ht="15" customHeight="1" x14ac:dyDescent="0.2">
      <c r="B323" s="16" t="s">
        <v>1002</v>
      </c>
      <c r="C323" s="16" t="s">
        <v>1006</v>
      </c>
      <c r="D323" s="16" t="s">
        <v>1046</v>
      </c>
      <c r="E323" s="16" t="s">
        <v>1021</v>
      </c>
      <c r="F323" s="16" t="s">
        <v>1023</v>
      </c>
      <c r="G323" s="16" t="s">
        <v>1031</v>
      </c>
      <c r="H323" s="21" t="s">
        <v>729</v>
      </c>
      <c r="I323" s="18" t="str">
        <f>RIGHT(H323,4)</f>
        <v>- 70</v>
      </c>
      <c r="J323" s="22" t="s">
        <v>275</v>
      </c>
      <c r="K323" s="23"/>
    </row>
    <row r="324" spans="2:11" ht="15.75" customHeight="1" x14ac:dyDescent="0.25">
      <c r="B324" s="16"/>
      <c r="C324" s="16"/>
      <c r="D324" s="16"/>
      <c r="E324" s="16"/>
      <c r="F324" s="16"/>
      <c r="G324" s="16"/>
      <c r="H324" s="37" t="s">
        <v>788</v>
      </c>
      <c r="I324" s="38"/>
      <c r="J324" s="19" t="s">
        <v>789</v>
      </c>
      <c r="K324" s="20">
        <v>21611875646</v>
      </c>
    </row>
    <row r="325" spans="2:11" s="13" customFormat="1" ht="15.75" customHeight="1" x14ac:dyDescent="0.25">
      <c r="B325" s="24"/>
      <c r="C325" s="24"/>
      <c r="D325" s="24"/>
      <c r="E325" s="24"/>
      <c r="F325" s="24"/>
      <c r="G325" s="24"/>
      <c r="H325" s="17" t="s">
        <v>401</v>
      </c>
      <c r="I325" s="18"/>
      <c r="J325" s="19" t="s">
        <v>1</v>
      </c>
      <c r="K325" s="20">
        <v>21611875646</v>
      </c>
    </row>
    <row r="326" spans="2:11" s="13" customFormat="1" ht="15.75" customHeight="1" x14ac:dyDescent="0.25">
      <c r="B326" s="24"/>
      <c r="C326" s="24"/>
      <c r="D326" s="24"/>
      <c r="E326" s="24"/>
      <c r="F326" s="24"/>
      <c r="G326" s="24"/>
      <c r="H326" s="17" t="s">
        <v>402</v>
      </c>
      <c r="I326" s="18"/>
      <c r="J326" s="19" t="s">
        <v>3</v>
      </c>
      <c r="K326" s="20">
        <v>21611875646</v>
      </c>
    </row>
    <row r="327" spans="2:11" s="13" customFormat="1" ht="15.75" customHeight="1" x14ac:dyDescent="0.25">
      <c r="B327" s="24"/>
      <c r="C327" s="24"/>
      <c r="D327" s="24"/>
      <c r="E327" s="24"/>
      <c r="F327" s="24"/>
      <c r="G327" s="24"/>
      <c r="H327" s="17" t="s">
        <v>403</v>
      </c>
      <c r="I327" s="18"/>
      <c r="J327" s="19" t="s">
        <v>5</v>
      </c>
      <c r="K327" s="20">
        <v>20745538145</v>
      </c>
    </row>
    <row r="328" spans="2:11" s="13" customFormat="1" ht="15.75" customHeight="1" x14ac:dyDescent="0.25">
      <c r="B328" s="24"/>
      <c r="C328" s="24"/>
      <c r="D328" s="24"/>
      <c r="E328" s="24"/>
      <c r="F328" s="24"/>
      <c r="G328" s="24"/>
      <c r="H328" s="17" t="s">
        <v>404</v>
      </c>
      <c r="I328" s="18"/>
      <c r="J328" s="19" t="s">
        <v>7</v>
      </c>
      <c r="K328" s="20">
        <v>61398005</v>
      </c>
    </row>
    <row r="329" spans="2:11" ht="15" customHeight="1" x14ac:dyDescent="0.2">
      <c r="B329" s="16"/>
      <c r="C329" s="16"/>
      <c r="D329" s="16"/>
      <c r="E329" s="16"/>
      <c r="F329" s="16"/>
      <c r="G329" s="16"/>
      <c r="H329" s="21" t="s">
        <v>405</v>
      </c>
      <c r="I329" s="18"/>
      <c r="J329" s="22" t="s">
        <v>331</v>
      </c>
      <c r="K329" s="23">
        <v>0</v>
      </c>
    </row>
    <row r="330" spans="2:11" ht="15" customHeight="1" x14ac:dyDescent="0.2">
      <c r="B330" s="16" t="s">
        <v>1002</v>
      </c>
      <c r="C330" s="16" t="s">
        <v>1006</v>
      </c>
      <c r="D330" s="16" t="s">
        <v>1047</v>
      </c>
      <c r="E330" s="16" t="s">
        <v>1021</v>
      </c>
      <c r="F330" s="16" t="s">
        <v>1022</v>
      </c>
      <c r="G330" s="16" t="s">
        <v>1024</v>
      </c>
      <c r="H330" s="21" t="s">
        <v>406</v>
      </c>
      <c r="I330" s="18" t="str">
        <f>RIGHT(H330,4)</f>
        <v>- 71</v>
      </c>
      <c r="J330" s="22" t="s">
        <v>331</v>
      </c>
      <c r="K330" s="23">
        <v>61398005</v>
      </c>
    </row>
    <row r="331" spans="2:11" s="13" customFormat="1" ht="15.75" customHeight="1" x14ac:dyDescent="0.25">
      <c r="B331" s="24"/>
      <c r="C331" s="24"/>
      <c r="D331" s="24"/>
      <c r="E331" s="24"/>
      <c r="F331" s="24"/>
      <c r="G331" s="24"/>
      <c r="H331" s="17" t="s">
        <v>407</v>
      </c>
      <c r="I331" s="18"/>
      <c r="J331" s="19" t="s">
        <v>14</v>
      </c>
      <c r="K331" s="20">
        <v>20684140140</v>
      </c>
    </row>
    <row r="332" spans="2:11" ht="15" customHeight="1" x14ac:dyDescent="0.2">
      <c r="B332" s="16"/>
      <c r="C332" s="16"/>
      <c r="D332" s="16"/>
      <c r="E332" s="16"/>
      <c r="F332" s="16"/>
      <c r="G332" s="16"/>
      <c r="H332" s="21" t="s">
        <v>408</v>
      </c>
      <c r="I332" s="18"/>
      <c r="J332" s="22" t="s">
        <v>335</v>
      </c>
      <c r="K332" s="23">
        <v>115400854</v>
      </c>
    </row>
    <row r="333" spans="2:11" ht="15" customHeight="1" x14ac:dyDescent="0.2">
      <c r="B333" s="16" t="s">
        <v>1002</v>
      </c>
      <c r="C333" s="16" t="s">
        <v>1006</v>
      </c>
      <c r="D333" s="16" t="s">
        <v>1047</v>
      </c>
      <c r="E333" s="16" t="s">
        <v>1021</v>
      </c>
      <c r="F333" s="16" t="s">
        <v>1022</v>
      </c>
      <c r="G333" s="16" t="s">
        <v>1025</v>
      </c>
      <c r="H333" s="21" t="s">
        <v>409</v>
      </c>
      <c r="I333" s="18" t="str">
        <f>RIGHT(H333,4)</f>
        <v>- 72</v>
      </c>
      <c r="J333" s="22" t="s">
        <v>335</v>
      </c>
      <c r="K333" s="23">
        <v>34815216</v>
      </c>
    </row>
    <row r="334" spans="2:11" ht="15" customHeight="1" x14ac:dyDescent="0.2">
      <c r="B334" s="16" t="s">
        <v>1002</v>
      </c>
      <c r="C334" s="16" t="s">
        <v>1006</v>
      </c>
      <c r="D334" s="16" t="s">
        <v>1047</v>
      </c>
      <c r="E334" s="16" t="s">
        <v>1021</v>
      </c>
      <c r="F334" s="16" t="s">
        <v>1022</v>
      </c>
      <c r="G334" s="16" t="s">
        <v>1025</v>
      </c>
      <c r="H334" s="21" t="s">
        <v>410</v>
      </c>
      <c r="I334" s="18" t="str">
        <f>RIGHT(H334,4)</f>
        <v xml:space="preserve"> 72A</v>
      </c>
      <c r="J334" s="22" t="s">
        <v>335</v>
      </c>
      <c r="K334" s="23">
        <v>80585638</v>
      </c>
    </row>
    <row r="335" spans="2:11" ht="15" customHeight="1" x14ac:dyDescent="0.2">
      <c r="B335" s="16"/>
      <c r="C335" s="16"/>
      <c r="D335" s="16"/>
      <c r="E335" s="16"/>
      <c r="F335" s="16"/>
      <c r="G335" s="16"/>
      <c r="H335" s="21" t="s">
        <v>411</v>
      </c>
      <c r="I335" s="18"/>
      <c r="J335" s="22" t="s">
        <v>72</v>
      </c>
      <c r="K335" s="23">
        <v>20568739286</v>
      </c>
    </row>
    <row r="336" spans="2:11" ht="30" customHeight="1" x14ac:dyDescent="0.2">
      <c r="B336" s="16" t="s">
        <v>1002</v>
      </c>
      <c r="C336" s="16" t="s">
        <v>1006</v>
      </c>
      <c r="D336" s="16" t="s">
        <v>1047</v>
      </c>
      <c r="E336" s="16" t="s">
        <v>1016</v>
      </c>
      <c r="F336" s="16" t="s">
        <v>1022</v>
      </c>
      <c r="G336" s="16" t="s">
        <v>1025</v>
      </c>
      <c r="H336" s="21" t="s">
        <v>412</v>
      </c>
      <c r="I336" s="18" t="str">
        <f>RIGHT(H336,4)</f>
        <v>- 84</v>
      </c>
      <c r="J336" s="22" t="s">
        <v>790</v>
      </c>
      <c r="K336" s="23">
        <v>20568739286</v>
      </c>
    </row>
    <row r="337" spans="2:11" s="13" customFormat="1" ht="15.75" customHeight="1" x14ac:dyDescent="0.25">
      <c r="B337" s="24"/>
      <c r="C337" s="24"/>
      <c r="D337" s="24"/>
      <c r="E337" s="24"/>
      <c r="F337" s="24"/>
      <c r="G337" s="24"/>
      <c r="H337" s="17" t="s">
        <v>413</v>
      </c>
      <c r="I337" s="18"/>
      <c r="J337" s="19" t="s">
        <v>86</v>
      </c>
      <c r="K337" s="20">
        <v>866337501</v>
      </c>
    </row>
    <row r="338" spans="2:11" s="13" customFormat="1" ht="15.75" customHeight="1" x14ac:dyDescent="0.25">
      <c r="B338" s="24"/>
      <c r="C338" s="24"/>
      <c r="D338" s="24"/>
      <c r="E338" s="24"/>
      <c r="F338" s="24"/>
      <c r="G338" s="24"/>
      <c r="H338" s="17" t="s">
        <v>414</v>
      </c>
      <c r="I338" s="18"/>
      <c r="J338" s="19" t="s">
        <v>355</v>
      </c>
      <c r="K338" s="20">
        <v>184320937</v>
      </c>
    </row>
    <row r="339" spans="2:11" ht="15" customHeight="1" x14ac:dyDescent="0.2">
      <c r="B339" s="16"/>
      <c r="C339" s="16"/>
      <c r="D339" s="16"/>
      <c r="E339" s="16"/>
      <c r="F339" s="16"/>
      <c r="G339" s="16"/>
      <c r="H339" s="21" t="s">
        <v>415</v>
      </c>
      <c r="I339" s="18"/>
      <c r="J339" s="22" t="s">
        <v>416</v>
      </c>
      <c r="K339" s="23">
        <v>184320937</v>
      </c>
    </row>
    <row r="340" spans="2:11" ht="15" customHeight="1" x14ac:dyDescent="0.2">
      <c r="B340" s="16" t="s">
        <v>1002</v>
      </c>
      <c r="C340" s="16" t="s">
        <v>1006</v>
      </c>
      <c r="D340" s="16" t="s">
        <v>1047</v>
      </c>
      <c r="E340" s="16" t="s">
        <v>1021</v>
      </c>
      <c r="F340" s="16" t="s">
        <v>1022</v>
      </c>
      <c r="G340" s="16" t="s">
        <v>1025</v>
      </c>
      <c r="H340" s="21" t="s">
        <v>417</v>
      </c>
      <c r="I340" s="18" t="str">
        <f>RIGHT(H340,4)</f>
        <v>- 41</v>
      </c>
      <c r="J340" s="22" t="s">
        <v>416</v>
      </c>
      <c r="K340" s="23">
        <v>184320937</v>
      </c>
    </row>
    <row r="341" spans="2:11" s="13" customFormat="1" ht="15.75" customHeight="1" x14ac:dyDescent="0.25">
      <c r="B341" s="24"/>
      <c r="C341" s="24"/>
      <c r="D341" s="24"/>
      <c r="E341" s="24"/>
      <c r="F341" s="24"/>
      <c r="G341" s="24"/>
      <c r="H341" s="17" t="s">
        <v>418</v>
      </c>
      <c r="I341" s="18"/>
      <c r="J341" s="19" t="s">
        <v>164</v>
      </c>
      <c r="K341" s="20">
        <v>0</v>
      </c>
    </row>
    <row r="342" spans="2:11" ht="15" customHeight="1" x14ac:dyDescent="0.2">
      <c r="B342" s="16"/>
      <c r="C342" s="16"/>
      <c r="D342" s="16"/>
      <c r="E342" s="16"/>
      <c r="F342" s="16"/>
      <c r="G342" s="16"/>
      <c r="H342" s="21" t="s">
        <v>419</v>
      </c>
      <c r="I342" s="18"/>
      <c r="J342" s="22" t="s">
        <v>181</v>
      </c>
      <c r="K342" s="23">
        <v>0</v>
      </c>
    </row>
    <row r="343" spans="2:11" ht="15" customHeight="1" x14ac:dyDescent="0.2">
      <c r="B343" s="16"/>
      <c r="C343" s="16"/>
      <c r="D343" s="16"/>
      <c r="E343" s="16"/>
      <c r="F343" s="16"/>
      <c r="G343" s="16"/>
      <c r="H343" s="21" t="s">
        <v>420</v>
      </c>
      <c r="I343" s="18"/>
      <c r="J343" s="22" t="s">
        <v>421</v>
      </c>
      <c r="K343" s="23">
        <v>0</v>
      </c>
    </row>
    <row r="344" spans="2:11" ht="15" customHeight="1" x14ac:dyDescent="0.2">
      <c r="B344" s="16" t="s">
        <v>1002</v>
      </c>
      <c r="C344" s="16" t="s">
        <v>1006</v>
      </c>
      <c r="D344" s="16" t="s">
        <v>1047</v>
      </c>
      <c r="E344" s="16" t="s">
        <v>1021</v>
      </c>
      <c r="F344" s="16" t="s">
        <v>1022</v>
      </c>
      <c r="G344" s="16" t="s">
        <v>1025</v>
      </c>
      <c r="H344" s="21" t="s">
        <v>422</v>
      </c>
      <c r="I344" s="18" t="str">
        <f>RIGHT(H344,4)</f>
        <v xml:space="preserve"> 106</v>
      </c>
      <c r="J344" s="22" t="s">
        <v>423</v>
      </c>
      <c r="K344" s="23">
        <v>0</v>
      </c>
    </row>
    <row r="345" spans="2:11" s="13" customFormat="1" ht="15.75" customHeight="1" x14ac:dyDescent="0.25">
      <c r="B345" s="24"/>
      <c r="C345" s="24"/>
      <c r="D345" s="24"/>
      <c r="E345" s="24"/>
      <c r="F345" s="24"/>
      <c r="G345" s="24"/>
      <c r="H345" s="17" t="s">
        <v>424</v>
      </c>
      <c r="I345" s="18"/>
      <c r="J345" s="19" t="s">
        <v>195</v>
      </c>
      <c r="K345" s="20">
        <v>682016564</v>
      </c>
    </row>
    <row r="346" spans="2:11" ht="15.75" customHeight="1" x14ac:dyDescent="0.25">
      <c r="B346" s="16"/>
      <c r="C346" s="16"/>
      <c r="D346" s="16"/>
      <c r="E346" s="16"/>
      <c r="F346" s="16"/>
      <c r="G346" s="16"/>
      <c r="H346" s="17" t="s">
        <v>425</v>
      </c>
      <c r="I346" s="40"/>
      <c r="J346" s="19" t="s">
        <v>362</v>
      </c>
      <c r="K346" s="20">
        <v>682016564</v>
      </c>
    </row>
    <row r="347" spans="2:11" ht="15" customHeight="1" x14ac:dyDescent="0.2">
      <c r="B347" s="16"/>
      <c r="C347" s="16"/>
      <c r="D347" s="16"/>
      <c r="E347" s="16"/>
      <c r="F347" s="16"/>
      <c r="G347" s="16"/>
      <c r="H347" s="21" t="s">
        <v>426</v>
      </c>
      <c r="I347" s="18"/>
      <c r="J347" s="22" t="s">
        <v>364</v>
      </c>
      <c r="K347" s="23">
        <v>146768146</v>
      </c>
    </row>
    <row r="348" spans="2:11" ht="15" customHeight="1" x14ac:dyDescent="0.2">
      <c r="B348" s="16" t="s">
        <v>1002</v>
      </c>
      <c r="C348" s="16" t="s">
        <v>1006</v>
      </c>
      <c r="D348" s="16" t="s">
        <v>1047</v>
      </c>
      <c r="E348" s="16" t="s">
        <v>1021</v>
      </c>
      <c r="F348" s="16" t="s">
        <v>1022</v>
      </c>
      <c r="G348" s="16" t="s">
        <v>1025</v>
      </c>
      <c r="H348" s="21" t="s">
        <v>427</v>
      </c>
      <c r="I348" s="18" t="str">
        <f>RIGHT(H348,4)</f>
        <v xml:space="preserve"> 103</v>
      </c>
      <c r="J348" s="22" t="s">
        <v>364</v>
      </c>
      <c r="K348" s="23">
        <v>4236634</v>
      </c>
    </row>
    <row r="349" spans="2:11" ht="15" customHeight="1" x14ac:dyDescent="0.2">
      <c r="B349" s="16" t="s">
        <v>1002</v>
      </c>
      <c r="C349" s="16" t="s">
        <v>1006</v>
      </c>
      <c r="D349" s="16" t="s">
        <v>1047</v>
      </c>
      <c r="E349" s="16" t="s">
        <v>1021</v>
      </c>
      <c r="F349" s="16" t="s">
        <v>1022</v>
      </c>
      <c r="G349" s="16" t="s">
        <v>1025</v>
      </c>
      <c r="H349" s="21" t="s">
        <v>428</v>
      </c>
      <c r="I349" s="18" t="str">
        <f>RIGHT(H349,4)</f>
        <v>- 71</v>
      </c>
      <c r="J349" s="22" t="s">
        <v>364</v>
      </c>
      <c r="K349" s="23">
        <v>142531512</v>
      </c>
    </row>
    <row r="350" spans="2:11" ht="30" customHeight="1" x14ac:dyDescent="0.2">
      <c r="B350" s="16"/>
      <c r="C350" s="16"/>
      <c r="D350" s="16"/>
      <c r="E350" s="16"/>
      <c r="F350" s="16"/>
      <c r="G350" s="16"/>
      <c r="H350" s="21" t="s">
        <v>429</v>
      </c>
      <c r="I350" s="18"/>
      <c r="J350" s="22" t="s">
        <v>367</v>
      </c>
      <c r="K350" s="23">
        <v>535248418</v>
      </c>
    </row>
    <row r="351" spans="2:11" ht="30" customHeight="1" x14ac:dyDescent="0.2">
      <c r="B351" s="16" t="s">
        <v>1002</v>
      </c>
      <c r="C351" s="16" t="s">
        <v>1006</v>
      </c>
      <c r="D351" s="16" t="s">
        <v>1047</v>
      </c>
      <c r="E351" s="16" t="s">
        <v>1021</v>
      </c>
      <c r="F351" s="16" t="s">
        <v>1022</v>
      </c>
      <c r="G351" s="16" t="s">
        <v>1025</v>
      </c>
      <c r="H351" s="21" t="s">
        <v>430</v>
      </c>
      <c r="I351" s="18" t="str">
        <f>RIGHT(H351,4)</f>
        <v xml:space="preserve"> 70A</v>
      </c>
      <c r="J351" s="22" t="s">
        <v>367</v>
      </c>
      <c r="K351" s="23">
        <v>535248418</v>
      </c>
    </row>
    <row r="352" spans="2:11" s="13" customFormat="1" ht="15.75" customHeight="1" x14ac:dyDescent="0.25">
      <c r="B352" s="24"/>
      <c r="C352" s="24"/>
      <c r="D352" s="24"/>
      <c r="E352" s="24"/>
      <c r="F352" s="24"/>
      <c r="G352" s="24"/>
      <c r="H352" s="17" t="s">
        <v>431</v>
      </c>
      <c r="I352" s="18"/>
      <c r="J352" s="19" t="s">
        <v>225</v>
      </c>
      <c r="K352" s="20">
        <v>0</v>
      </c>
    </row>
    <row r="353" spans="2:11" s="13" customFormat="1" ht="15.75" customHeight="1" x14ac:dyDescent="0.25">
      <c r="B353" s="24"/>
      <c r="C353" s="24"/>
      <c r="D353" s="24"/>
      <c r="E353" s="24"/>
      <c r="F353" s="24"/>
      <c r="G353" s="24"/>
      <c r="H353" s="17" t="s">
        <v>432</v>
      </c>
      <c r="I353" s="18"/>
      <c r="J353" s="19" t="s">
        <v>239</v>
      </c>
      <c r="K353" s="20">
        <v>0</v>
      </c>
    </row>
    <row r="354" spans="2:11" s="13" customFormat="1" ht="15.75" customHeight="1" x14ac:dyDescent="0.25">
      <c r="B354" s="24"/>
      <c r="C354" s="24"/>
      <c r="D354" s="24"/>
      <c r="E354" s="24"/>
      <c r="F354" s="24"/>
      <c r="G354" s="24"/>
      <c r="H354" s="17" t="s">
        <v>433</v>
      </c>
      <c r="I354" s="18"/>
      <c r="J354" s="19" t="s">
        <v>241</v>
      </c>
      <c r="K354" s="20">
        <v>0</v>
      </c>
    </row>
    <row r="355" spans="2:11" ht="15" customHeight="1" x14ac:dyDescent="0.2">
      <c r="B355" s="16" t="s">
        <v>1002</v>
      </c>
      <c r="C355" s="16" t="s">
        <v>1006</v>
      </c>
      <c r="D355" s="16" t="s">
        <v>1047</v>
      </c>
      <c r="E355" s="16" t="s">
        <v>1021</v>
      </c>
      <c r="F355" s="16" t="s">
        <v>1023</v>
      </c>
      <c r="G355" s="16" t="s">
        <v>1028</v>
      </c>
      <c r="H355" s="21" t="s">
        <v>730</v>
      </c>
      <c r="I355" s="18" t="str">
        <f t="shared" ref="I355:I360" si="10">RIGHT(H355,4)</f>
        <v>106F</v>
      </c>
      <c r="J355" s="22" t="s">
        <v>241</v>
      </c>
      <c r="K355" s="23"/>
    </row>
    <row r="356" spans="2:11" ht="15" customHeight="1" x14ac:dyDescent="0.2">
      <c r="B356" s="16" t="s">
        <v>1002</v>
      </c>
      <c r="C356" s="16" t="s">
        <v>1006</v>
      </c>
      <c r="D356" s="16" t="s">
        <v>1047</v>
      </c>
      <c r="E356" s="16" t="s">
        <v>1021</v>
      </c>
      <c r="F356" s="16" t="s">
        <v>1023</v>
      </c>
      <c r="G356" s="16" t="s">
        <v>1028</v>
      </c>
      <c r="H356" s="21" t="s">
        <v>731</v>
      </c>
      <c r="I356" s="18" t="str">
        <f t="shared" si="10"/>
        <v>150F</v>
      </c>
      <c r="J356" s="22" t="s">
        <v>241</v>
      </c>
      <c r="K356" s="23"/>
    </row>
    <row r="357" spans="2:11" ht="15" customHeight="1" x14ac:dyDescent="0.2">
      <c r="B357" s="16" t="s">
        <v>1002</v>
      </c>
      <c r="C357" s="16" t="s">
        <v>1006</v>
      </c>
      <c r="D357" s="16" t="s">
        <v>1047</v>
      </c>
      <c r="E357" s="16" t="s">
        <v>1021</v>
      </c>
      <c r="F357" s="16" t="s">
        <v>1023</v>
      </c>
      <c r="G357" s="16" t="s">
        <v>1028</v>
      </c>
      <c r="H357" s="21" t="s">
        <v>732</v>
      </c>
      <c r="I357" s="18" t="str">
        <f t="shared" si="10"/>
        <v xml:space="preserve"> 16F</v>
      </c>
      <c r="J357" s="22" t="s">
        <v>241</v>
      </c>
      <c r="K357" s="23"/>
    </row>
    <row r="358" spans="2:11" ht="15" customHeight="1" x14ac:dyDescent="0.2">
      <c r="B358" s="16" t="s">
        <v>1002</v>
      </c>
      <c r="C358" s="16" t="s">
        <v>1006</v>
      </c>
      <c r="D358" s="16" t="s">
        <v>1047</v>
      </c>
      <c r="E358" s="16" t="s">
        <v>1021</v>
      </c>
      <c r="F358" s="16" t="s">
        <v>1023</v>
      </c>
      <c r="G358" s="16" t="s">
        <v>1028</v>
      </c>
      <c r="H358" s="21" t="s">
        <v>733</v>
      </c>
      <c r="I358" s="18" t="str">
        <f t="shared" si="10"/>
        <v xml:space="preserve"> 29F</v>
      </c>
      <c r="J358" s="22" t="s">
        <v>241</v>
      </c>
      <c r="K358" s="23"/>
    </row>
    <row r="359" spans="2:11" ht="15" customHeight="1" x14ac:dyDescent="0.2">
      <c r="B359" s="16" t="s">
        <v>1002</v>
      </c>
      <c r="C359" s="16" t="s">
        <v>1006</v>
      </c>
      <c r="D359" s="16" t="s">
        <v>1047</v>
      </c>
      <c r="E359" s="16" t="s">
        <v>1021</v>
      </c>
      <c r="F359" s="16" t="s">
        <v>1023</v>
      </c>
      <c r="G359" s="16" t="s">
        <v>1028</v>
      </c>
      <c r="H359" s="21" t="s">
        <v>734</v>
      </c>
      <c r="I359" s="18" t="str">
        <f t="shared" si="10"/>
        <v xml:space="preserve"> 41F</v>
      </c>
      <c r="J359" s="22" t="s">
        <v>241</v>
      </c>
      <c r="K359" s="23"/>
    </row>
    <row r="360" spans="2:11" ht="15" customHeight="1" x14ac:dyDescent="0.2">
      <c r="B360" s="16" t="s">
        <v>1002</v>
      </c>
      <c r="C360" s="16" t="s">
        <v>1006</v>
      </c>
      <c r="D360" s="16" t="s">
        <v>1047</v>
      </c>
      <c r="E360" s="16" t="s">
        <v>1021</v>
      </c>
      <c r="F360" s="16" t="s">
        <v>1023</v>
      </c>
      <c r="G360" s="16" t="s">
        <v>1028</v>
      </c>
      <c r="H360" s="21" t="s">
        <v>735</v>
      </c>
      <c r="I360" s="18" t="str">
        <f t="shared" si="10"/>
        <v xml:space="preserve"> 84F</v>
      </c>
      <c r="J360" s="22" t="s">
        <v>241</v>
      </c>
      <c r="K360" s="23"/>
    </row>
    <row r="361" spans="2:11" s="13" customFormat="1" ht="15.75" customHeight="1" x14ac:dyDescent="0.25">
      <c r="B361" s="24"/>
      <c r="C361" s="24"/>
      <c r="D361" s="24"/>
      <c r="E361" s="24"/>
      <c r="F361" s="24"/>
      <c r="G361" s="24"/>
      <c r="H361" s="17" t="s">
        <v>434</v>
      </c>
      <c r="I361" s="18"/>
      <c r="J361" s="19" t="s">
        <v>267</v>
      </c>
      <c r="K361" s="20">
        <v>0</v>
      </c>
    </row>
    <row r="362" spans="2:11" s="13" customFormat="1" ht="15.75" customHeight="1" x14ac:dyDescent="0.25">
      <c r="B362" s="24"/>
      <c r="C362" s="24"/>
      <c r="D362" s="24"/>
      <c r="E362" s="24"/>
      <c r="F362" s="24"/>
      <c r="G362" s="24"/>
      <c r="H362" s="17" t="s">
        <v>435</v>
      </c>
      <c r="I362" s="18"/>
      <c r="J362" s="19" t="s">
        <v>271</v>
      </c>
      <c r="K362" s="20">
        <v>0</v>
      </c>
    </row>
    <row r="363" spans="2:11" ht="15" customHeight="1" x14ac:dyDescent="0.2">
      <c r="B363" s="16" t="s">
        <v>1002</v>
      </c>
      <c r="C363" s="16" t="s">
        <v>1006</v>
      </c>
      <c r="D363" s="16" t="s">
        <v>1047</v>
      </c>
      <c r="E363" s="16" t="s">
        <v>1021</v>
      </c>
      <c r="F363" s="16" t="s">
        <v>1023</v>
      </c>
      <c r="G363" s="16" t="s">
        <v>1030</v>
      </c>
      <c r="H363" s="21" t="s">
        <v>736</v>
      </c>
      <c r="I363" s="18" t="str">
        <f>RIGHT(H363,4)</f>
        <v>41RB</v>
      </c>
      <c r="J363" s="22" t="s">
        <v>271</v>
      </c>
      <c r="K363" s="23"/>
    </row>
    <row r="364" spans="2:11" ht="15.75" customHeight="1" x14ac:dyDescent="0.25">
      <c r="B364" s="16"/>
      <c r="C364" s="16"/>
      <c r="D364" s="16"/>
      <c r="E364" s="16"/>
      <c r="F364" s="16"/>
      <c r="G364" s="16"/>
      <c r="H364" s="41" t="s">
        <v>791</v>
      </c>
      <c r="I364" s="42"/>
      <c r="J364" s="43" t="s">
        <v>792</v>
      </c>
      <c r="K364" s="20">
        <v>20979541144</v>
      </c>
    </row>
    <row r="365" spans="2:11" s="13" customFormat="1" ht="15.75" customHeight="1" x14ac:dyDescent="0.25">
      <c r="B365" s="24"/>
      <c r="C365" s="24"/>
      <c r="D365" s="24"/>
      <c r="E365" s="24"/>
      <c r="F365" s="24"/>
      <c r="G365" s="24"/>
      <c r="H365" s="17" t="s">
        <v>436</v>
      </c>
      <c r="I365" s="18"/>
      <c r="J365" s="19" t="s">
        <v>1</v>
      </c>
      <c r="K365" s="20">
        <v>20979541144</v>
      </c>
    </row>
    <row r="366" spans="2:11" s="13" customFormat="1" ht="15.75" customHeight="1" x14ac:dyDescent="0.25">
      <c r="B366" s="24"/>
      <c r="C366" s="24"/>
      <c r="D366" s="24"/>
      <c r="E366" s="24"/>
      <c r="F366" s="24"/>
      <c r="G366" s="24"/>
      <c r="H366" s="17" t="s">
        <v>437</v>
      </c>
      <c r="I366" s="18"/>
      <c r="J366" s="19" t="s">
        <v>3</v>
      </c>
      <c r="K366" s="20">
        <v>20679541144</v>
      </c>
    </row>
    <row r="367" spans="2:11" s="13" customFormat="1" ht="15.75" customHeight="1" x14ac:dyDescent="0.25">
      <c r="B367" s="24"/>
      <c r="C367" s="24"/>
      <c r="D367" s="24"/>
      <c r="E367" s="24"/>
      <c r="F367" s="24"/>
      <c r="G367" s="24"/>
      <c r="H367" s="17" t="s">
        <v>438</v>
      </c>
      <c r="I367" s="18"/>
      <c r="J367" s="19" t="s">
        <v>86</v>
      </c>
      <c r="K367" s="20">
        <v>20679541144</v>
      </c>
    </row>
    <row r="368" spans="2:11" s="13" customFormat="1" ht="15.75" customHeight="1" x14ac:dyDescent="0.25">
      <c r="B368" s="24"/>
      <c r="C368" s="24"/>
      <c r="D368" s="24"/>
      <c r="E368" s="24"/>
      <c r="F368" s="24"/>
      <c r="G368" s="24"/>
      <c r="H368" s="17" t="s">
        <v>439</v>
      </c>
      <c r="I368" s="18"/>
      <c r="J368" s="19" t="s">
        <v>164</v>
      </c>
      <c r="K368" s="20">
        <v>20679541144</v>
      </c>
    </row>
    <row r="369" spans="2:11" ht="15" customHeight="1" x14ac:dyDescent="0.2">
      <c r="B369" s="16"/>
      <c r="C369" s="16"/>
      <c r="D369" s="16"/>
      <c r="E369" s="16"/>
      <c r="F369" s="16"/>
      <c r="G369" s="16"/>
      <c r="H369" s="21" t="s">
        <v>440</v>
      </c>
      <c r="I369" s="18"/>
      <c r="J369" s="22" t="s">
        <v>166</v>
      </c>
      <c r="K369" s="23">
        <v>18824497618</v>
      </c>
    </row>
    <row r="370" spans="2:11" ht="15" customHeight="1" x14ac:dyDescent="0.2">
      <c r="B370" s="16"/>
      <c r="C370" s="16"/>
      <c r="D370" s="16"/>
      <c r="E370" s="16"/>
      <c r="F370" s="16"/>
      <c r="G370" s="16"/>
      <c r="H370" s="21" t="s">
        <v>441</v>
      </c>
      <c r="I370" s="18"/>
      <c r="J370" s="22" t="s">
        <v>442</v>
      </c>
      <c r="K370" s="23">
        <v>18824497618</v>
      </c>
    </row>
    <row r="371" spans="2:11" ht="15" customHeight="1" x14ac:dyDescent="0.2">
      <c r="B371" s="16"/>
      <c r="C371" s="16"/>
      <c r="D371" s="16"/>
      <c r="E371" s="16"/>
      <c r="F371" s="16"/>
      <c r="G371" s="16"/>
      <c r="H371" s="21" t="s">
        <v>443</v>
      </c>
      <c r="I371" s="18"/>
      <c r="J371" s="22" t="s">
        <v>444</v>
      </c>
      <c r="K371" s="23">
        <v>18824497618</v>
      </c>
    </row>
    <row r="372" spans="2:11" ht="15" customHeight="1" x14ac:dyDescent="0.2">
      <c r="B372" s="16" t="s">
        <v>1002</v>
      </c>
      <c r="C372" s="16" t="s">
        <v>1006</v>
      </c>
      <c r="D372" s="16" t="s">
        <v>1048</v>
      </c>
      <c r="E372" s="16" t="s">
        <v>1017</v>
      </c>
      <c r="F372" s="16" t="s">
        <v>1022</v>
      </c>
      <c r="G372" s="16" t="s">
        <v>1025</v>
      </c>
      <c r="H372" s="21" t="s">
        <v>445</v>
      </c>
      <c r="I372" s="18" t="str">
        <f>RIGHT(H372,4)</f>
        <v>- 32</v>
      </c>
      <c r="J372" s="22" t="s">
        <v>444</v>
      </c>
      <c r="K372" s="23">
        <v>18824497618</v>
      </c>
    </row>
    <row r="373" spans="2:11" ht="31.5" customHeight="1" x14ac:dyDescent="0.25">
      <c r="B373" s="16"/>
      <c r="C373" s="16"/>
      <c r="D373" s="16"/>
      <c r="E373" s="16"/>
      <c r="F373" s="16"/>
      <c r="G373" s="16"/>
      <c r="H373" s="17" t="s">
        <v>446</v>
      </c>
      <c r="I373" s="40"/>
      <c r="J373" s="19" t="s">
        <v>301</v>
      </c>
      <c r="K373" s="20">
        <v>1855043526</v>
      </c>
    </row>
    <row r="374" spans="2:11" ht="30" customHeight="1" x14ac:dyDescent="0.2">
      <c r="B374" s="16"/>
      <c r="C374" s="16"/>
      <c r="D374" s="16"/>
      <c r="E374" s="16"/>
      <c r="F374" s="16"/>
      <c r="G374" s="16"/>
      <c r="H374" s="21" t="s">
        <v>447</v>
      </c>
      <c r="I374" s="18"/>
      <c r="J374" s="22" t="s">
        <v>448</v>
      </c>
      <c r="K374" s="23">
        <v>1443981088</v>
      </c>
    </row>
    <row r="375" spans="2:11" ht="30" customHeight="1" x14ac:dyDescent="0.2">
      <c r="B375" s="16" t="s">
        <v>1002</v>
      </c>
      <c r="C375" s="16" t="s">
        <v>1006</v>
      </c>
      <c r="D375" s="16" t="s">
        <v>1048</v>
      </c>
      <c r="E375" s="16" t="s">
        <v>1021</v>
      </c>
      <c r="F375" s="16" t="s">
        <v>1022</v>
      </c>
      <c r="G375" s="16" t="s">
        <v>1025</v>
      </c>
      <c r="H375" s="21" t="s">
        <v>449</v>
      </c>
      <c r="I375" s="18" t="str">
        <f>RIGHT(H375,4)</f>
        <v>- 33</v>
      </c>
      <c r="J375" s="22" t="s">
        <v>448</v>
      </c>
      <c r="K375" s="23">
        <v>1443981088</v>
      </c>
    </row>
    <row r="376" spans="2:11" ht="15" customHeight="1" x14ac:dyDescent="0.2">
      <c r="B376" s="16"/>
      <c r="C376" s="16"/>
      <c r="D376" s="16"/>
      <c r="E376" s="16"/>
      <c r="F376" s="16"/>
      <c r="G376" s="16"/>
      <c r="H376" s="21" t="s">
        <v>450</v>
      </c>
      <c r="I376" s="18"/>
      <c r="J376" s="22" t="s">
        <v>451</v>
      </c>
      <c r="K376" s="23">
        <v>350000000</v>
      </c>
    </row>
    <row r="377" spans="2:11" ht="15" customHeight="1" x14ac:dyDescent="0.2">
      <c r="B377" s="16" t="s">
        <v>1002</v>
      </c>
      <c r="C377" s="16" t="s">
        <v>1006</v>
      </c>
      <c r="D377" s="16" t="s">
        <v>1048</v>
      </c>
      <c r="E377" s="16" t="s">
        <v>1021</v>
      </c>
      <c r="F377" s="16" t="s">
        <v>1022</v>
      </c>
      <c r="G377" s="16" t="s">
        <v>1025</v>
      </c>
      <c r="H377" s="21" t="s">
        <v>452</v>
      </c>
      <c r="I377" s="18" t="str">
        <f>RIGHT(H377,4)</f>
        <v>- 35</v>
      </c>
      <c r="J377" s="22" t="s">
        <v>451</v>
      </c>
      <c r="K377" s="23">
        <v>350000000</v>
      </c>
    </row>
    <row r="378" spans="2:11" ht="15" customHeight="1" x14ac:dyDescent="0.2">
      <c r="B378" s="16"/>
      <c r="C378" s="16"/>
      <c r="D378" s="16"/>
      <c r="E378" s="16"/>
      <c r="F378" s="16"/>
      <c r="G378" s="16"/>
      <c r="H378" s="21" t="s">
        <v>453</v>
      </c>
      <c r="I378" s="18"/>
      <c r="J378" s="22" t="s">
        <v>454</v>
      </c>
      <c r="K378" s="23">
        <v>61062438</v>
      </c>
    </row>
    <row r="379" spans="2:11" ht="15" customHeight="1" x14ac:dyDescent="0.2">
      <c r="B379" s="16" t="s">
        <v>1002</v>
      </c>
      <c r="C379" s="16" t="s">
        <v>1006</v>
      </c>
      <c r="D379" s="16" t="s">
        <v>1048</v>
      </c>
      <c r="E379" s="16" t="s">
        <v>1021</v>
      </c>
      <c r="F379" s="16" t="s">
        <v>1022</v>
      </c>
      <c r="G379" s="16" t="s">
        <v>1025</v>
      </c>
      <c r="H379" s="21" t="s">
        <v>455</v>
      </c>
      <c r="I379" s="18" t="str">
        <f>RIGHT(H379,4)</f>
        <v>- 36</v>
      </c>
      <c r="J379" s="22" t="s">
        <v>454</v>
      </c>
      <c r="K379" s="23">
        <v>61062438</v>
      </c>
    </row>
    <row r="380" spans="2:11" s="13" customFormat="1" ht="15.75" customHeight="1" x14ac:dyDescent="0.25">
      <c r="B380" s="24"/>
      <c r="C380" s="24"/>
      <c r="D380" s="24"/>
      <c r="E380" s="24"/>
      <c r="F380" s="24"/>
      <c r="G380" s="24"/>
      <c r="H380" s="17" t="s">
        <v>456</v>
      </c>
      <c r="I380" s="18"/>
      <c r="J380" s="19" t="s">
        <v>225</v>
      </c>
      <c r="K380" s="20">
        <v>300000000</v>
      </c>
    </row>
    <row r="381" spans="2:11" s="13" customFormat="1" ht="15.75" customHeight="1" x14ac:dyDescent="0.25">
      <c r="B381" s="24"/>
      <c r="C381" s="24"/>
      <c r="D381" s="24"/>
      <c r="E381" s="24"/>
      <c r="F381" s="24"/>
      <c r="G381" s="24"/>
      <c r="H381" s="17" t="s">
        <v>457</v>
      </c>
      <c r="I381" s="18"/>
      <c r="J381" s="19" t="s">
        <v>239</v>
      </c>
      <c r="K381" s="20">
        <v>300000000</v>
      </c>
    </row>
    <row r="382" spans="2:11" s="13" customFormat="1" ht="15.75" customHeight="1" x14ac:dyDescent="0.25">
      <c r="B382" s="24"/>
      <c r="C382" s="24"/>
      <c r="D382" s="24"/>
      <c r="E382" s="24"/>
      <c r="F382" s="24"/>
      <c r="G382" s="24"/>
      <c r="H382" s="17" t="s">
        <v>458</v>
      </c>
      <c r="I382" s="18"/>
      <c r="J382" s="19" t="s">
        <v>241</v>
      </c>
      <c r="K382" s="20">
        <v>300000000</v>
      </c>
    </row>
    <row r="383" spans="2:11" ht="15" customHeight="1" x14ac:dyDescent="0.2">
      <c r="B383" s="16" t="s">
        <v>1002</v>
      </c>
      <c r="C383" s="16" t="s">
        <v>1006</v>
      </c>
      <c r="D383" s="16" t="s">
        <v>1048</v>
      </c>
      <c r="E383" s="16" t="s">
        <v>1017</v>
      </c>
      <c r="F383" s="16" t="s">
        <v>1023</v>
      </c>
      <c r="G383" s="16" t="s">
        <v>1028</v>
      </c>
      <c r="H383" s="21" t="s">
        <v>459</v>
      </c>
      <c r="I383" s="18" t="str">
        <f>RIGHT(H383,4)</f>
        <v xml:space="preserve"> 32F</v>
      </c>
      <c r="J383" s="22" t="s">
        <v>241</v>
      </c>
      <c r="K383" s="23">
        <v>300000000</v>
      </c>
    </row>
    <row r="384" spans="2:11" ht="15" customHeight="1" x14ac:dyDescent="0.2">
      <c r="B384" s="16" t="s">
        <v>1002</v>
      </c>
      <c r="C384" s="16" t="s">
        <v>1006</v>
      </c>
      <c r="D384" s="16" t="s">
        <v>1048</v>
      </c>
      <c r="E384" s="16" t="s">
        <v>1021</v>
      </c>
      <c r="F384" s="16" t="s">
        <v>1023</v>
      </c>
      <c r="G384" s="16" t="s">
        <v>1028</v>
      </c>
      <c r="H384" s="21" t="s">
        <v>460</v>
      </c>
      <c r="I384" s="18" t="str">
        <f>RIGHT(H384,4)</f>
        <v xml:space="preserve"> 33F</v>
      </c>
      <c r="J384" s="22" t="s">
        <v>241</v>
      </c>
      <c r="K384" s="23">
        <v>0</v>
      </c>
    </row>
    <row r="385" spans="2:11" ht="15" customHeight="1" x14ac:dyDescent="0.2">
      <c r="B385" s="16" t="s">
        <v>1002</v>
      </c>
      <c r="C385" s="16" t="s">
        <v>1006</v>
      </c>
      <c r="D385" s="16" t="s">
        <v>1048</v>
      </c>
      <c r="E385" s="16" t="s">
        <v>1021</v>
      </c>
      <c r="F385" s="16" t="s">
        <v>1023</v>
      </c>
      <c r="G385" s="16" t="s">
        <v>1028</v>
      </c>
      <c r="H385" s="21" t="s">
        <v>461</v>
      </c>
      <c r="I385" s="18" t="str">
        <f>RIGHT(H385,4)</f>
        <v xml:space="preserve"> 35F</v>
      </c>
      <c r="J385" s="22" t="s">
        <v>241</v>
      </c>
      <c r="K385" s="23">
        <v>0</v>
      </c>
    </row>
    <row r="386" spans="2:11" ht="15" customHeight="1" x14ac:dyDescent="0.2">
      <c r="B386" s="16" t="s">
        <v>1002</v>
      </c>
      <c r="C386" s="16" t="s">
        <v>1006</v>
      </c>
      <c r="D386" s="16" t="s">
        <v>1048</v>
      </c>
      <c r="E386" s="16" t="s">
        <v>1021</v>
      </c>
      <c r="F386" s="16" t="s">
        <v>1023</v>
      </c>
      <c r="G386" s="16" t="s">
        <v>1028</v>
      </c>
      <c r="H386" s="21" t="s">
        <v>462</v>
      </c>
      <c r="I386" s="18" t="str">
        <f>RIGHT(H386,4)</f>
        <v xml:space="preserve"> 36F</v>
      </c>
      <c r="J386" s="22" t="s">
        <v>241</v>
      </c>
      <c r="K386" s="23">
        <v>0</v>
      </c>
    </row>
    <row r="387" spans="2:11" s="13" customFormat="1" ht="15.75" customHeight="1" x14ac:dyDescent="0.25">
      <c r="B387" s="24"/>
      <c r="C387" s="24"/>
      <c r="D387" s="24"/>
      <c r="E387" s="24"/>
      <c r="F387" s="24"/>
      <c r="G387" s="24"/>
      <c r="H387" s="17" t="s">
        <v>463</v>
      </c>
      <c r="I387" s="18"/>
      <c r="J387" s="19" t="s">
        <v>267</v>
      </c>
      <c r="K387" s="20">
        <v>0</v>
      </c>
    </row>
    <row r="388" spans="2:11" s="13" customFormat="1" ht="15.75" customHeight="1" x14ac:dyDescent="0.25">
      <c r="B388" s="24"/>
      <c r="C388" s="24"/>
      <c r="D388" s="24"/>
      <c r="E388" s="24"/>
      <c r="F388" s="24"/>
      <c r="G388" s="24"/>
      <c r="H388" s="17" t="s">
        <v>464</v>
      </c>
      <c r="I388" s="18"/>
      <c r="J388" s="19" t="s">
        <v>271</v>
      </c>
      <c r="K388" s="20">
        <v>0</v>
      </c>
    </row>
    <row r="389" spans="2:11" ht="15" customHeight="1" x14ac:dyDescent="0.2">
      <c r="B389" s="16" t="s">
        <v>1002</v>
      </c>
      <c r="C389" s="16" t="s">
        <v>1006</v>
      </c>
      <c r="D389" s="16" t="s">
        <v>1048</v>
      </c>
      <c r="E389" s="16" t="s">
        <v>1017</v>
      </c>
      <c r="F389" s="16" t="s">
        <v>1023</v>
      </c>
      <c r="G389" s="16" t="s">
        <v>1030</v>
      </c>
      <c r="H389" s="21" t="s">
        <v>465</v>
      </c>
      <c r="I389" s="18" t="str">
        <f>RIGHT(H389,4)</f>
        <v>32RB</v>
      </c>
      <c r="J389" s="22" t="s">
        <v>271</v>
      </c>
      <c r="K389" s="23">
        <v>0</v>
      </c>
    </row>
    <row r="390" spans="2:11" s="13" customFormat="1" ht="15.75" customHeight="1" x14ac:dyDescent="0.25">
      <c r="B390" s="24"/>
      <c r="C390" s="24"/>
      <c r="D390" s="24"/>
      <c r="E390" s="24"/>
      <c r="F390" s="24"/>
      <c r="G390" s="24"/>
      <c r="H390" s="17" t="s">
        <v>466</v>
      </c>
      <c r="I390" s="18"/>
      <c r="J390" s="19" t="s">
        <v>273</v>
      </c>
      <c r="K390" s="20">
        <v>0</v>
      </c>
    </row>
    <row r="391" spans="2:11" s="13" customFormat="1" ht="15.75" customHeight="1" x14ac:dyDescent="0.25">
      <c r="B391" s="24"/>
      <c r="C391" s="24"/>
      <c r="D391" s="24"/>
      <c r="E391" s="24"/>
      <c r="F391" s="24"/>
      <c r="G391" s="24"/>
      <c r="H391" s="17" t="s">
        <v>467</v>
      </c>
      <c r="I391" s="18"/>
      <c r="J391" s="19" t="s">
        <v>275</v>
      </c>
      <c r="K391" s="20">
        <v>0</v>
      </c>
    </row>
    <row r="392" spans="2:11" ht="15" customHeight="1" x14ac:dyDescent="0.2">
      <c r="B392" s="16" t="s">
        <v>1002</v>
      </c>
      <c r="C392" s="16" t="s">
        <v>1006</v>
      </c>
      <c r="D392" s="16" t="s">
        <v>1048</v>
      </c>
      <c r="E392" s="16" t="s">
        <v>1021</v>
      </c>
      <c r="F392" s="16" t="s">
        <v>1023</v>
      </c>
      <c r="G392" s="16" t="s">
        <v>1031</v>
      </c>
      <c r="H392" s="21" t="s">
        <v>737</v>
      </c>
      <c r="I392" s="18" t="str">
        <f>RIGHT(H392,4)</f>
        <v>- 33</v>
      </c>
      <c r="J392" s="22" t="s">
        <v>275</v>
      </c>
      <c r="K392" s="23"/>
    </row>
    <row r="393" spans="2:11" ht="31.5" customHeight="1" x14ac:dyDescent="0.25">
      <c r="B393" s="16"/>
      <c r="C393" s="16"/>
      <c r="D393" s="16"/>
      <c r="E393" s="16"/>
      <c r="F393" s="16"/>
      <c r="G393" s="16"/>
      <c r="H393" s="44">
        <v>30303</v>
      </c>
      <c r="I393" s="18"/>
      <c r="J393" s="43" t="s">
        <v>793</v>
      </c>
      <c r="K393" s="20">
        <v>17635639023</v>
      </c>
    </row>
    <row r="394" spans="2:11" s="13" customFormat="1" ht="15.75" customHeight="1" x14ac:dyDescent="0.25">
      <c r="B394" s="24"/>
      <c r="C394" s="24"/>
      <c r="D394" s="24"/>
      <c r="E394" s="24"/>
      <c r="F394" s="24"/>
      <c r="G394" s="24"/>
      <c r="H394" s="17" t="s">
        <v>468</v>
      </c>
      <c r="I394" s="18"/>
      <c r="J394" s="19" t="s">
        <v>1</v>
      </c>
      <c r="K394" s="20">
        <v>17635639023</v>
      </c>
    </row>
    <row r="395" spans="2:11" s="13" customFormat="1" ht="15.75" customHeight="1" x14ac:dyDescent="0.25">
      <c r="B395" s="24"/>
      <c r="C395" s="24"/>
      <c r="D395" s="24"/>
      <c r="E395" s="24"/>
      <c r="F395" s="24"/>
      <c r="G395" s="24"/>
      <c r="H395" s="17" t="s">
        <v>469</v>
      </c>
      <c r="I395" s="18"/>
      <c r="J395" s="19" t="s">
        <v>3</v>
      </c>
      <c r="K395" s="20">
        <v>17635639023</v>
      </c>
    </row>
    <row r="396" spans="2:11" s="13" customFormat="1" ht="15.75" customHeight="1" x14ac:dyDescent="0.25">
      <c r="B396" s="24"/>
      <c r="C396" s="24"/>
      <c r="D396" s="24"/>
      <c r="E396" s="24"/>
      <c r="F396" s="24"/>
      <c r="G396" s="24"/>
      <c r="H396" s="17" t="s">
        <v>470</v>
      </c>
      <c r="I396" s="18"/>
      <c r="J396" s="19" t="s">
        <v>5</v>
      </c>
      <c r="K396" s="20">
        <v>5200097925</v>
      </c>
    </row>
    <row r="397" spans="2:11" s="13" customFormat="1" ht="15.75" customHeight="1" x14ac:dyDescent="0.25">
      <c r="B397" s="24"/>
      <c r="C397" s="24"/>
      <c r="D397" s="24"/>
      <c r="E397" s="24"/>
      <c r="F397" s="24"/>
      <c r="G397" s="24"/>
      <c r="H397" s="17" t="s">
        <v>471</v>
      </c>
      <c r="I397" s="18"/>
      <c r="J397" s="19" t="s">
        <v>14</v>
      </c>
      <c r="K397" s="20">
        <v>5200097925</v>
      </c>
    </row>
    <row r="398" spans="2:11" ht="15" customHeight="1" x14ac:dyDescent="0.2">
      <c r="B398" s="16"/>
      <c r="C398" s="16"/>
      <c r="D398" s="16"/>
      <c r="E398" s="16"/>
      <c r="F398" s="16"/>
      <c r="G398" s="16"/>
      <c r="H398" s="21" t="s">
        <v>472</v>
      </c>
      <c r="I398" s="18"/>
      <c r="J398" s="22" t="s">
        <v>29</v>
      </c>
      <c r="K398" s="23">
        <v>751578099</v>
      </c>
    </row>
    <row r="399" spans="2:11" ht="15" customHeight="1" x14ac:dyDescent="0.2">
      <c r="B399" s="16"/>
      <c r="C399" s="16"/>
      <c r="D399" s="16"/>
      <c r="E399" s="16"/>
      <c r="F399" s="16"/>
      <c r="G399" s="16"/>
      <c r="H399" s="21" t="s">
        <v>473</v>
      </c>
      <c r="I399" s="18"/>
      <c r="J399" s="22" t="s">
        <v>31</v>
      </c>
      <c r="K399" s="23">
        <v>751578099</v>
      </c>
    </row>
    <row r="400" spans="2:11" ht="30" customHeight="1" x14ac:dyDescent="0.2">
      <c r="B400" s="16"/>
      <c r="C400" s="16"/>
      <c r="D400" s="16"/>
      <c r="E400" s="16"/>
      <c r="F400" s="16"/>
      <c r="G400" s="16"/>
      <c r="H400" s="21" t="s">
        <v>474</v>
      </c>
      <c r="I400" s="18"/>
      <c r="J400" s="22" t="s">
        <v>33</v>
      </c>
      <c r="K400" s="23">
        <v>320371442</v>
      </c>
    </row>
    <row r="401" spans="2:11" ht="30" customHeight="1" x14ac:dyDescent="0.2">
      <c r="B401" s="16" t="s">
        <v>1002</v>
      </c>
      <c r="C401" s="16" t="s">
        <v>1006</v>
      </c>
      <c r="D401" s="16" t="s">
        <v>1049</v>
      </c>
      <c r="E401" s="16" t="s">
        <v>1021</v>
      </c>
      <c r="F401" s="16" t="s">
        <v>1022</v>
      </c>
      <c r="G401" s="16" t="s">
        <v>1025</v>
      </c>
      <c r="H401" s="21" t="s">
        <v>475</v>
      </c>
      <c r="I401" s="18" t="str">
        <f>RIGHT(H401,4)</f>
        <v xml:space="preserve"> 150</v>
      </c>
      <c r="J401" s="22" t="s">
        <v>35</v>
      </c>
      <c r="K401" s="23">
        <v>124968007</v>
      </c>
    </row>
    <row r="402" spans="2:11" ht="15.6" customHeight="1" x14ac:dyDescent="0.2">
      <c r="B402" s="16" t="s">
        <v>1002</v>
      </c>
      <c r="C402" s="16" t="s">
        <v>1006</v>
      </c>
      <c r="D402" s="16" t="s">
        <v>1049</v>
      </c>
      <c r="E402" s="16" t="s">
        <v>1021</v>
      </c>
      <c r="F402" s="16" t="s">
        <v>1022</v>
      </c>
      <c r="G402" s="16" t="s">
        <v>1025</v>
      </c>
      <c r="H402" s="21" t="s">
        <v>476</v>
      </c>
      <c r="I402" s="18" t="str">
        <f>RIGHT(H402,4)</f>
        <v xml:space="preserve"> 150</v>
      </c>
      <c r="J402" s="22" t="s">
        <v>38</v>
      </c>
      <c r="K402" s="23">
        <v>195403435</v>
      </c>
    </row>
    <row r="403" spans="2:11" ht="30" customHeight="1" x14ac:dyDescent="0.2">
      <c r="B403" s="16"/>
      <c r="C403" s="16"/>
      <c r="D403" s="16"/>
      <c r="E403" s="16"/>
      <c r="F403" s="16"/>
      <c r="G403" s="16"/>
      <c r="H403" s="21" t="s">
        <v>477</v>
      </c>
      <c r="I403" s="18"/>
      <c r="J403" s="22" t="s">
        <v>41</v>
      </c>
      <c r="K403" s="23">
        <v>431206657</v>
      </c>
    </row>
    <row r="404" spans="2:11" ht="30" customHeight="1" x14ac:dyDescent="0.2">
      <c r="B404" s="16" t="s">
        <v>1002</v>
      </c>
      <c r="C404" s="16" t="s">
        <v>1006</v>
      </c>
      <c r="D404" s="16" t="s">
        <v>1049</v>
      </c>
      <c r="E404" s="16" t="s">
        <v>1021</v>
      </c>
      <c r="F404" s="16" t="s">
        <v>1022</v>
      </c>
      <c r="G404" s="16" t="s">
        <v>1025</v>
      </c>
      <c r="H404" s="21" t="s">
        <v>478</v>
      </c>
      <c r="I404" s="18" t="str">
        <f>RIGHT(H404,4)</f>
        <v xml:space="preserve"> 150</v>
      </c>
      <c r="J404" s="22" t="s">
        <v>43</v>
      </c>
      <c r="K404" s="23">
        <v>138101501</v>
      </c>
    </row>
    <row r="405" spans="2:11" ht="18.600000000000001" customHeight="1" x14ac:dyDescent="0.2">
      <c r="B405" s="16" t="s">
        <v>1002</v>
      </c>
      <c r="C405" s="16" t="s">
        <v>1006</v>
      </c>
      <c r="D405" s="16" t="s">
        <v>1049</v>
      </c>
      <c r="E405" s="16" t="s">
        <v>1021</v>
      </c>
      <c r="F405" s="16" t="s">
        <v>1022</v>
      </c>
      <c r="G405" s="16" t="s">
        <v>1025</v>
      </c>
      <c r="H405" s="21" t="s">
        <v>479</v>
      </c>
      <c r="I405" s="18" t="str">
        <f>RIGHT(H405,4)</f>
        <v xml:space="preserve"> 150</v>
      </c>
      <c r="J405" s="22" t="s">
        <v>46</v>
      </c>
      <c r="K405" s="23">
        <v>293105156</v>
      </c>
    </row>
    <row r="406" spans="2:11" ht="15" customHeight="1" x14ac:dyDescent="0.2">
      <c r="B406" s="16"/>
      <c r="C406" s="16"/>
      <c r="D406" s="16"/>
      <c r="E406" s="16"/>
      <c r="F406" s="16"/>
      <c r="G406" s="16"/>
      <c r="H406" s="21" t="s">
        <v>480</v>
      </c>
      <c r="I406" s="18"/>
      <c r="J406" s="22" t="s">
        <v>49</v>
      </c>
      <c r="K406" s="23">
        <v>4448519826</v>
      </c>
    </row>
    <row r="407" spans="2:11" ht="15" customHeight="1" x14ac:dyDescent="0.2">
      <c r="B407" s="16"/>
      <c r="C407" s="16"/>
      <c r="D407" s="16"/>
      <c r="E407" s="16"/>
      <c r="F407" s="16"/>
      <c r="G407" s="16"/>
      <c r="H407" s="21" t="s">
        <v>481</v>
      </c>
      <c r="I407" s="18"/>
      <c r="J407" s="22" t="s">
        <v>51</v>
      </c>
      <c r="K407" s="23">
        <v>4446770946</v>
      </c>
    </row>
    <row r="408" spans="2:11" ht="15" customHeight="1" x14ac:dyDescent="0.2">
      <c r="B408" s="16" t="s">
        <v>1002</v>
      </c>
      <c r="C408" s="16" t="s">
        <v>1006</v>
      </c>
      <c r="D408" s="16" t="s">
        <v>1049</v>
      </c>
      <c r="E408" s="16" t="s">
        <v>1021</v>
      </c>
      <c r="F408" s="16" t="s">
        <v>1022</v>
      </c>
      <c r="G408" s="16" t="s">
        <v>1025</v>
      </c>
      <c r="H408" s="21" t="s">
        <v>482</v>
      </c>
      <c r="I408" s="18" t="str">
        <f>RIGHT(H408,4)</f>
        <v>- 29</v>
      </c>
      <c r="J408" s="22" t="s">
        <v>51</v>
      </c>
      <c r="K408" s="23">
        <v>4446770946</v>
      </c>
    </row>
    <row r="409" spans="2:11" ht="15" customHeight="1" x14ac:dyDescent="0.2">
      <c r="B409" s="16"/>
      <c r="C409" s="16"/>
      <c r="D409" s="16"/>
      <c r="E409" s="16"/>
      <c r="F409" s="16"/>
      <c r="G409" s="16"/>
      <c r="H409" s="21" t="s">
        <v>483</v>
      </c>
      <c r="I409" s="18"/>
      <c r="J409" s="22" t="s">
        <v>54</v>
      </c>
      <c r="K409" s="23">
        <v>1748880</v>
      </c>
    </row>
    <row r="410" spans="2:11" ht="15" customHeight="1" x14ac:dyDescent="0.2">
      <c r="B410" s="16" t="s">
        <v>1002</v>
      </c>
      <c r="C410" s="16" t="s">
        <v>1006</v>
      </c>
      <c r="D410" s="16" t="s">
        <v>1049</v>
      </c>
      <c r="E410" s="16" t="s">
        <v>1021</v>
      </c>
      <c r="F410" s="16" t="s">
        <v>1022</v>
      </c>
      <c r="G410" s="16" t="s">
        <v>1025</v>
      </c>
      <c r="H410" s="21" t="s">
        <v>484</v>
      </c>
      <c r="I410" s="18" t="str">
        <f>RIGHT(H410,4)</f>
        <v>- 29</v>
      </c>
      <c r="J410" s="22" t="s">
        <v>54</v>
      </c>
      <c r="K410" s="23">
        <v>1748880</v>
      </c>
    </row>
    <row r="411" spans="2:11" s="13" customFormat="1" ht="15.75" customHeight="1" x14ac:dyDescent="0.25">
      <c r="B411" s="24"/>
      <c r="C411" s="24"/>
      <c r="D411" s="24"/>
      <c r="E411" s="24"/>
      <c r="F411" s="24"/>
      <c r="G411" s="24"/>
      <c r="H411" s="17" t="s">
        <v>485</v>
      </c>
      <c r="I411" s="18"/>
      <c r="J411" s="19" t="s">
        <v>86</v>
      </c>
      <c r="K411" s="20">
        <v>12435541098</v>
      </c>
    </row>
    <row r="412" spans="2:11" s="13" customFormat="1" ht="15.75" customHeight="1" x14ac:dyDescent="0.25">
      <c r="B412" s="24"/>
      <c r="C412" s="24"/>
      <c r="D412" s="24"/>
      <c r="E412" s="24"/>
      <c r="F412" s="24"/>
      <c r="G412" s="24"/>
      <c r="H412" s="17" t="s">
        <v>486</v>
      </c>
      <c r="I412" s="18"/>
      <c r="J412" s="19" t="s">
        <v>164</v>
      </c>
      <c r="K412" s="20">
        <v>9252949350</v>
      </c>
    </row>
    <row r="413" spans="2:11" ht="15" customHeight="1" x14ac:dyDescent="0.2">
      <c r="B413" s="16"/>
      <c r="C413" s="16"/>
      <c r="D413" s="16"/>
      <c r="E413" s="16"/>
      <c r="F413" s="16"/>
      <c r="G413" s="16"/>
      <c r="H413" s="21" t="s">
        <v>487</v>
      </c>
      <c r="I413" s="18"/>
      <c r="J413" s="22" t="s">
        <v>166</v>
      </c>
      <c r="K413" s="23">
        <v>9252949350</v>
      </c>
    </row>
    <row r="414" spans="2:11" ht="15" customHeight="1" x14ac:dyDescent="0.2">
      <c r="B414" s="16"/>
      <c r="C414" s="16"/>
      <c r="D414" s="16"/>
      <c r="E414" s="16"/>
      <c r="F414" s="16"/>
      <c r="G414" s="16"/>
      <c r="H414" s="21" t="s">
        <v>488</v>
      </c>
      <c r="I414" s="18"/>
      <c r="J414" s="22" t="s">
        <v>442</v>
      </c>
      <c r="K414" s="23">
        <v>9252949350</v>
      </c>
    </row>
    <row r="415" spans="2:11" ht="15" customHeight="1" x14ac:dyDescent="0.2">
      <c r="B415" s="16"/>
      <c r="C415" s="16"/>
      <c r="D415" s="16"/>
      <c r="E415" s="16"/>
      <c r="F415" s="16"/>
      <c r="G415" s="16"/>
      <c r="H415" s="21" t="s">
        <v>489</v>
      </c>
      <c r="I415" s="18"/>
      <c r="J415" s="22" t="s">
        <v>490</v>
      </c>
      <c r="K415" s="23">
        <v>9252949350</v>
      </c>
    </row>
    <row r="416" spans="2:11" ht="15" customHeight="1" x14ac:dyDescent="0.2">
      <c r="B416" s="16" t="s">
        <v>1002</v>
      </c>
      <c r="C416" s="16" t="s">
        <v>1006</v>
      </c>
      <c r="D416" s="16" t="s">
        <v>1049</v>
      </c>
      <c r="E416" s="16" t="s">
        <v>1017</v>
      </c>
      <c r="F416" s="16" t="s">
        <v>1022</v>
      </c>
      <c r="G416" s="16" t="s">
        <v>1025</v>
      </c>
      <c r="H416" s="21" t="s">
        <v>491</v>
      </c>
      <c r="I416" s="18" t="str">
        <f>RIGHT(H416,4)</f>
        <v>- 30</v>
      </c>
      <c r="J416" s="22" t="s">
        <v>490</v>
      </c>
      <c r="K416" s="23">
        <v>9252949350</v>
      </c>
    </row>
    <row r="417" spans="2:11" s="13" customFormat="1" ht="15.75" customHeight="1" x14ac:dyDescent="0.25">
      <c r="B417" s="24"/>
      <c r="C417" s="24"/>
      <c r="D417" s="24"/>
      <c r="E417" s="24"/>
      <c r="F417" s="24"/>
      <c r="G417" s="24"/>
      <c r="H417" s="17" t="s">
        <v>492</v>
      </c>
      <c r="I417" s="18"/>
      <c r="J417" s="19" t="s">
        <v>195</v>
      </c>
      <c r="K417" s="20">
        <v>3182591748</v>
      </c>
    </row>
    <row r="418" spans="2:11" ht="30" customHeight="1" x14ac:dyDescent="0.2">
      <c r="B418" s="16"/>
      <c r="C418" s="16"/>
      <c r="D418" s="16"/>
      <c r="E418" s="16"/>
      <c r="F418" s="16"/>
      <c r="G418" s="16"/>
      <c r="H418" s="21" t="s">
        <v>493</v>
      </c>
      <c r="I418" s="18"/>
      <c r="J418" s="22" t="s">
        <v>197</v>
      </c>
      <c r="K418" s="23">
        <v>3182591748</v>
      </c>
    </row>
    <row r="419" spans="2:11" ht="30" customHeight="1" x14ac:dyDescent="0.2">
      <c r="B419" s="16"/>
      <c r="C419" s="16"/>
      <c r="D419" s="16"/>
      <c r="E419" s="16"/>
      <c r="F419" s="16"/>
      <c r="G419" s="16"/>
      <c r="H419" s="21" t="s">
        <v>494</v>
      </c>
      <c r="I419" s="18"/>
      <c r="J419" s="22" t="s">
        <v>199</v>
      </c>
      <c r="K419" s="23">
        <v>3182591748</v>
      </c>
    </row>
    <row r="420" spans="2:11" ht="15" customHeight="1" x14ac:dyDescent="0.2">
      <c r="B420" s="16"/>
      <c r="C420" s="16"/>
      <c r="D420" s="16"/>
      <c r="E420" s="16"/>
      <c r="F420" s="16"/>
      <c r="G420" s="16"/>
      <c r="H420" s="21" t="s">
        <v>495</v>
      </c>
      <c r="I420" s="18"/>
      <c r="J420" s="22" t="s">
        <v>201</v>
      </c>
      <c r="K420" s="23">
        <v>3182591748</v>
      </c>
    </row>
    <row r="421" spans="2:11" ht="30" customHeight="1" x14ac:dyDescent="0.2">
      <c r="B421" s="16"/>
      <c r="C421" s="16"/>
      <c r="D421" s="16"/>
      <c r="E421" s="16"/>
      <c r="F421" s="16"/>
      <c r="G421" s="16"/>
      <c r="H421" s="21" t="s">
        <v>496</v>
      </c>
      <c r="I421" s="18"/>
      <c r="J421" s="22" t="s">
        <v>203</v>
      </c>
      <c r="K421" s="23">
        <v>124184943</v>
      </c>
    </row>
    <row r="422" spans="2:11" ht="30" customHeight="1" x14ac:dyDescent="0.2">
      <c r="B422" s="16" t="s">
        <v>1002</v>
      </c>
      <c r="C422" s="16" t="s">
        <v>1006</v>
      </c>
      <c r="D422" s="16" t="s">
        <v>1049</v>
      </c>
      <c r="E422" s="16" t="s">
        <v>1021</v>
      </c>
      <c r="F422" s="16" t="s">
        <v>1022</v>
      </c>
      <c r="G422" s="16" t="s">
        <v>1025</v>
      </c>
      <c r="H422" s="21" t="s">
        <v>497</v>
      </c>
      <c r="I422" s="18" t="str">
        <f>RIGHT(H422,4)</f>
        <v xml:space="preserve"> 150</v>
      </c>
      <c r="J422" s="22" t="s">
        <v>203</v>
      </c>
      <c r="K422" s="23">
        <v>124184943</v>
      </c>
    </row>
    <row r="423" spans="2:11" ht="30" customHeight="1" x14ac:dyDescent="0.2">
      <c r="B423" s="16"/>
      <c r="C423" s="16"/>
      <c r="D423" s="16"/>
      <c r="E423" s="16"/>
      <c r="F423" s="16"/>
      <c r="G423" s="16"/>
      <c r="H423" s="21" t="s">
        <v>498</v>
      </c>
      <c r="I423" s="18"/>
      <c r="J423" s="22" t="s">
        <v>207</v>
      </c>
      <c r="K423" s="23">
        <v>51060175</v>
      </c>
    </row>
    <row r="424" spans="2:11" ht="30" customHeight="1" x14ac:dyDescent="0.2">
      <c r="B424" s="16" t="s">
        <v>1002</v>
      </c>
      <c r="C424" s="16" t="s">
        <v>1006</v>
      </c>
      <c r="D424" s="16" t="s">
        <v>1049</v>
      </c>
      <c r="E424" s="16" t="s">
        <v>1021</v>
      </c>
      <c r="F424" s="16" t="s">
        <v>1022</v>
      </c>
      <c r="G424" s="16" t="s">
        <v>1025</v>
      </c>
      <c r="H424" s="21" t="s">
        <v>499</v>
      </c>
      <c r="I424" s="18" t="str">
        <f>RIGHT(H424,4)</f>
        <v xml:space="preserve"> 150</v>
      </c>
      <c r="J424" s="22" t="s">
        <v>207</v>
      </c>
      <c r="K424" s="23">
        <v>51060175</v>
      </c>
    </row>
    <row r="425" spans="2:11" ht="15" customHeight="1" x14ac:dyDescent="0.2">
      <c r="B425" s="16"/>
      <c r="C425" s="16"/>
      <c r="D425" s="16"/>
      <c r="E425" s="16"/>
      <c r="F425" s="16"/>
      <c r="G425" s="16"/>
      <c r="H425" s="21" t="s">
        <v>500</v>
      </c>
      <c r="I425" s="18"/>
      <c r="J425" s="22" t="s">
        <v>211</v>
      </c>
      <c r="K425" s="23">
        <v>3007346630</v>
      </c>
    </row>
    <row r="426" spans="2:11" ht="15" customHeight="1" x14ac:dyDescent="0.2">
      <c r="B426" s="16"/>
      <c r="C426" s="16"/>
      <c r="D426" s="16"/>
      <c r="E426" s="16"/>
      <c r="F426" s="16"/>
      <c r="G426" s="16"/>
      <c r="H426" s="21" t="s">
        <v>501</v>
      </c>
      <c r="I426" s="18"/>
      <c r="J426" s="22" t="s">
        <v>213</v>
      </c>
      <c r="K426" s="23">
        <v>3007346630</v>
      </c>
    </row>
    <row r="427" spans="2:11" ht="30" customHeight="1" x14ac:dyDescent="0.2">
      <c r="B427" s="16"/>
      <c r="C427" s="16"/>
      <c r="D427" s="16"/>
      <c r="E427" s="16"/>
      <c r="F427" s="16"/>
      <c r="G427" s="16"/>
      <c r="H427" s="21" t="s">
        <v>502</v>
      </c>
      <c r="I427" s="18"/>
      <c r="J427" s="22" t="s">
        <v>215</v>
      </c>
      <c r="K427" s="23">
        <v>1995824348</v>
      </c>
    </row>
    <row r="428" spans="2:11" ht="30" customHeight="1" x14ac:dyDescent="0.2">
      <c r="B428" s="16" t="s">
        <v>1002</v>
      </c>
      <c r="C428" s="16" t="s">
        <v>1006</v>
      </c>
      <c r="D428" s="16" t="s">
        <v>1049</v>
      </c>
      <c r="E428" s="16" t="s">
        <v>1021</v>
      </c>
      <c r="F428" s="16" t="s">
        <v>1022</v>
      </c>
      <c r="G428" s="16" t="s">
        <v>1025</v>
      </c>
      <c r="H428" s="21" t="s">
        <v>503</v>
      </c>
      <c r="I428" s="18" t="str">
        <f>RIGHT(H428,4)</f>
        <v xml:space="preserve"> 150</v>
      </c>
      <c r="J428" s="22" t="s">
        <v>215</v>
      </c>
      <c r="K428" s="23">
        <v>1995824348</v>
      </c>
    </row>
    <row r="429" spans="2:11" ht="30" customHeight="1" x14ac:dyDescent="0.2">
      <c r="B429" s="16"/>
      <c r="C429" s="16"/>
      <c r="D429" s="16"/>
      <c r="E429" s="16"/>
      <c r="F429" s="16"/>
      <c r="G429" s="16"/>
      <c r="H429" s="21" t="s">
        <v>504</v>
      </c>
      <c r="I429" s="18"/>
      <c r="J429" s="22" t="s">
        <v>219</v>
      </c>
      <c r="K429" s="23">
        <v>1011522282</v>
      </c>
    </row>
    <row r="430" spans="2:11" ht="30" customHeight="1" x14ac:dyDescent="0.2">
      <c r="B430" s="16"/>
      <c r="C430" s="16"/>
      <c r="D430" s="16"/>
      <c r="E430" s="16"/>
      <c r="F430" s="16"/>
      <c r="G430" s="16"/>
      <c r="H430" s="21" t="s">
        <v>505</v>
      </c>
      <c r="I430" s="18"/>
      <c r="J430" s="22" t="s">
        <v>221</v>
      </c>
      <c r="K430" s="23">
        <v>1011522282</v>
      </c>
    </row>
    <row r="431" spans="2:11" ht="30" customHeight="1" x14ac:dyDescent="0.2">
      <c r="B431" s="16" t="s">
        <v>1002</v>
      </c>
      <c r="C431" s="16" t="s">
        <v>1006</v>
      </c>
      <c r="D431" s="16" t="s">
        <v>1049</v>
      </c>
      <c r="E431" s="16" t="s">
        <v>1021</v>
      </c>
      <c r="F431" s="16" t="s">
        <v>1022</v>
      </c>
      <c r="G431" s="16" t="s">
        <v>1025</v>
      </c>
      <c r="H431" s="21" t="s">
        <v>506</v>
      </c>
      <c r="I431" s="18" t="str">
        <f>RIGHT(H431,4)</f>
        <v xml:space="preserve"> 150</v>
      </c>
      <c r="J431" s="22" t="s">
        <v>221</v>
      </c>
      <c r="K431" s="23">
        <v>1011522282</v>
      </c>
    </row>
    <row r="432" spans="2:11" s="13" customFormat="1" ht="15.75" customHeight="1" x14ac:dyDescent="0.25">
      <c r="B432" s="24"/>
      <c r="C432" s="24"/>
      <c r="D432" s="24"/>
      <c r="E432" s="24"/>
      <c r="F432" s="24"/>
      <c r="G432" s="24"/>
      <c r="H432" s="17" t="s">
        <v>507</v>
      </c>
      <c r="I432" s="18"/>
      <c r="J432" s="19" t="s">
        <v>225</v>
      </c>
      <c r="K432" s="20">
        <v>0</v>
      </c>
    </row>
    <row r="433" spans="2:11" s="13" customFormat="1" ht="15.75" customHeight="1" x14ac:dyDescent="0.25">
      <c r="B433" s="24"/>
      <c r="C433" s="24"/>
      <c r="D433" s="24"/>
      <c r="E433" s="24"/>
      <c r="F433" s="24"/>
      <c r="G433" s="24"/>
      <c r="H433" s="17" t="s">
        <v>508</v>
      </c>
      <c r="I433" s="18"/>
      <c r="J433" s="19" t="s">
        <v>239</v>
      </c>
      <c r="K433" s="20">
        <v>0</v>
      </c>
    </row>
    <row r="434" spans="2:11" s="13" customFormat="1" ht="15.75" customHeight="1" x14ac:dyDescent="0.25">
      <c r="B434" s="24"/>
      <c r="C434" s="24"/>
      <c r="D434" s="24"/>
      <c r="E434" s="24"/>
      <c r="F434" s="24"/>
      <c r="G434" s="24"/>
      <c r="H434" s="17" t="s">
        <v>509</v>
      </c>
      <c r="I434" s="18"/>
      <c r="J434" s="19" t="s">
        <v>241</v>
      </c>
      <c r="K434" s="20">
        <v>0</v>
      </c>
    </row>
    <row r="435" spans="2:11" ht="15" customHeight="1" x14ac:dyDescent="0.2">
      <c r="B435" s="16" t="s">
        <v>1002</v>
      </c>
      <c r="C435" s="16" t="s">
        <v>1006</v>
      </c>
      <c r="D435" s="16" t="s">
        <v>1049</v>
      </c>
      <c r="E435" s="16" t="s">
        <v>1021</v>
      </c>
      <c r="F435" s="16" t="s">
        <v>1023</v>
      </c>
      <c r="G435" s="16" t="s">
        <v>1028</v>
      </c>
      <c r="H435" s="21" t="s">
        <v>510</v>
      </c>
      <c r="I435" s="18" t="str">
        <f>RIGHT(H435,4)</f>
        <v>150F</v>
      </c>
      <c r="J435" s="22" t="s">
        <v>241</v>
      </c>
      <c r="K435" s="23">
        <v>0</v>
      </c>
    </row>
    <row r="436" spans="2:11" ht="15" customHeight="1" x14ac:dyDescent="0.2">
      <c r="B436" s="16" t="s">
        <v>1002</v>
      </c>
      <c r="C436" s="16" t="s">
        <v>1006</v>
      </c>
      <c r="D436" s="16" t="s">
        <v>1049</v>
      </c>
      <c r="E436" s="16" t="s">
        <v>1021</v>
      </c>
      <c r="F436" s="16" t="s">
        <v>1023</v>
      </c>
      <c r="G436" s="16" t="s">
        <v>1028</v>
      </c>
      <c r="H436" s="21" t="s">
        <v>511</v>
      </c>
      <c r="I436" s="18" t="str">
        <f>RIGHT(H436,4)</f>
        <v xml:space="preserve"> 29F</v>
      </c>
      <c r="J436" s="22" t="s">
        <v>241</v>
      </c>
      <c r="K436" s="23">
        <v>0</v>
      </c>
    </row>
    <row r="437" spans="2:11" ht="15" customHeight="1" x14ac:dyDescent="0.2">
      <c r="B437" s="16" t="s">
        <v>1002</v>
      </c>
      <c r="C437" s="16" t="s">
        <v>1006</v>
      </c>
      <c r="D437" s="16" t="s">
        <v>1049</v>
      </c>
      <c r="E437" s="16" t="s">
        <v>1017</v>
      </c>
      <c r="F437" s="16" t="s">
        <v>1023</v>
      </c>
      <c r="G437" s="16" t="s">
        <v>1028</v>
      </c>
      <c r="H437" s="21" t="s">
        <v>512</v>
      </c>
      <c r="I437" s="18" t="str">
        <f>RIGHT(H437,4)</f>
        <v xml:space="preserve"> 30F</v>
      </c>
      <c r="J437" s="22" t="s">
        <v>241</v>
      </c>
      <c r="K437" s="23">
        <v>0</v>
      </c>
    </row>
    <row r="438" spans="2:11" s="13" customFormat="1" ht="15.75" customHeight="1" x14ac:dyDescent="0.25">
      <c r="B438" s="24"/>
      <c r="C438" s="24"/>
      <c r="D438" s="24"/>
      <c r="E438" s="24"/>
      <c r="F438" s="24"/>
      <c r="G438" s="24"/>
      <c r="H438" s="17" t="s">
        <v>513</v>
      </c>
      <c r="I438" s="18"/>
      <c r="J438" s="19" t="s">
        <v>267</v>
      </c>
      <c r="K438" s="20">
        <v>0</v>
      </c>
    </row>
    <row r="439" spans="2:11" s="13" customFormat="1" ht="15.75" customHeight="1" x14ac:dyDescent="0.25">
      <c r="B439" s="24"/>
      <c r="C439" s="24"/>
      <c r="D439" s="24"/>
      <c r="E439" s="24"/>
      <c r="F439" s="24"/>
      <c r="G439" s="24"/>
      <c r="H439" s="17" t="s">
        <v>514</v>
      </c>
      <c r="I439" s="18"/>
      <c r="J439" s="19" t="s">
        <v>271</v>
      </c>
      <c r="K439" s="20">
        <v>0</v>
      </c>
    </row>
    <row r="440" spans="2:11" ht="15" customHeight="1" x14ac:dyDescent="0.2">
      <c r="B440" s="16" t="s">
        <v>1002</v>
      </c>
      <c r="C440" s="16" t="s">
        <v>1006</v>
      </c>
      <c r="D440" s="16" t="s">
        <v>1049</v>
      </c>
      <c r="E440" s="16" t="s">
        <v>1021</v>
      </c>
      <c r="F440" s="16" t="s">
        <v>1023</v>
      </c>
      <c r="G440" s="16" t="s">
        <v>1030</v>
      </c>
      <c r="H440" s="21" t="s">
        <v>738</v>
      </c>
      <c r="I440" s="18" t="str">
        <f t="shared" ref="I440:I450" si="11">RIGHT(H440,4)</f>
        <v>103A</v>
      </c>
      <c r="J440" s="22" t="s">
        <v>271</v>
      </c>
      <c r="K440" s="23"/>
    </row>
    <row r="441" spans="2:11" ht="15" customHeight="1" x14ac:dyDescent="0.2">
      <c r="B441" s="16" t="s">
        <v>1002</v>
      </c>
      <c r="C441" s="16" t="s">
        <v>1006</v>
      </c>
      <c r="D441" s="16" t="s">
        <v>1049</v>
      </c>
      <c r="E441" s="16" t="s">
        <v>1021</v>
      </c>
      <c r="F441" s="16" t="s">
        <v>1023</v>
      </c>
      <c r="G441" s="16" t="s">
        <v>1030</v>
      </c>
      <c r="H441" s="21" t="s">
        <v>739</v>
      </c>
      <c r="I441" s="18" t="str">
        <f t="shared" si="11"/>
        <v>103R</v>
      </c>
      <c r="J441" s="22" t="s">
        <v>271</v>
      </c>
      <c r="K441" s="23"/>
    </row>
    <row r="442" spans="2:11" ht="15" customHeight="1" x14ac:dyDescent="0.2">
      <c r="B442" s="16" t="s">
        <v>1002</v>
      </c>
      <c r="C442" s="16" t="s">
        <v>1006</v>
      </c>
      <c r="D442" s="16" t="s">
        <v>1049</v>
      </c>
      <c r="E442" s="16" t="s">
        <v>1021</v>
      </c>
      <c r="F442" s="16" t="s">
        <v>1023</v>
      </c>
      <c r="G442" s="16" t="s">
        <v>1030</v>
      </c>
      <c r="H442" s="21" t="s">
        <v>740</v>
      </c>
      <c r="I442" s="18" t="str">
        <f t="shared" si="11"/>
        <v>149R</v>
      </c>
      <c r="J442" s="22" t="s">
        <v>271</v>
      </c>
      <c r="K442" s="23"/>
    </row>
    <row r="443" spans="2:11" ht="15" customHeight="1" x14ac:dyDescent="0.2">
      <c r="B443" s="16" t="s">
        <v>1002</v>
      </c>
      <c r="C443" s="16" t="s">
        <v>1006</v>
      </c>
      <c r="D443" s="16" t="s">
        <v>1049</v>
      </c>
      <c r="E443" s="16" t="s">
        <v>1021</v>
      </c>
      <c r="F443" s="16" t="s">
        <v>1023</v>
      </c>
      <c r="G443" s="16" t="s">
        <v>1030</v>
      </c>
      <c r="H443" s="21" t="s">
        <v>741</v>
      </c>
      <c r="I443" s="18" t="str">
        <f t="shared" si="11"/>
        <v>150R</v>
      </c>
      <c r="J443" s="22" t="s">
        <v>271</v>
      </c>
      <c r="K443" s="23"/>
    </row>
    <row r="444" spans="2:11" ht="15" customHeight="1" x14ac:dyDescent="0.2">
      <c r="B444" s="16" t="s">
        <v>1002</v>
      </c>
      <c r="C444" s="16" t="s">
        <v>1006</v>
      </c>
      <c r="D444" s="16" t="s">
        <v>1049</v>
      </c>
      <c r="E444" s="16" t="s">
        <v>1021</v>
      </c>
      <c r="F444" s="16" t="s">
        <v>1023</v>
      </c>
      <c r="G444" s="16" t="s">
        <v>1030</v>
      </c>
      <c r="H444" s="21" t="s">
        <v>742</v>
      </c>
      <c r="I444" s="18" t="str">
        <f t="shared" si="11"/>
        <v>29RB</v>
      </c>
      <c r="J444" s="22" t="s">
        <v>271</v>
      </c>
      <c r="K444" s="23"/>
    </row>
    <row r="445" spans="2:11" ht="15" customHeight="1" x14ac:dyDescent="0.2">
      <c r="B445" s="16" t="s">
        <v>1002</v>
      </c>
      <c r="C445" s="16" t="s">
        <v>1006</v>
      </c>
      <c r="D445" s="16" t="s">
        <v>1049</v>
      </c>
      <c r="E445" s="16" t="s">
        <v>1017</v>
      </c>
      <c r="F445" s="16" t="s">
        <v>1023</v>
      </c>
      <c r="G445" s="16" t="s">
        <v>1030</v>
      </c>
      <c r="H445" s="21" t="s">
        <v>743</v>
      </c>
      <c r="I445" s="18" t="str">
        <f t="shared" si="11"/>
        <v>30RB</v>
      </c>
      <c r="J445" s="22" t="s">
        <v>271</v>
      </c>
      <c r="K445" s="23"/>
    </row>
    <row r="446" spans="2:11" ht="15" customHeight="1" x14ac:dyDescent="0.2">
      <c r="B446" s="16" t="s">
        <v>1002</v>
      </c>
      <c r="C446" s="16" t="s">
        <v>1006</v>
      </c>
      <c r="D446" s="16" t="s">
        <v>1049</v>
      </c>
      <c r="E446" s="16" t="s">
        <v>1021</v>
      </c>
      <c r="F446" s="16" t="s">
        <v>1023</v>
      </c>
      <c r="G446" s="16" t="s">
        <v>1030</v>
      </c>
      <c r="H446" s="21" t="s">
        <v>744</v>
      </c>
      <c r="I446" s="18" t="str">
        <f t="shared" si="11"/>
        <v>70RB</v>
      </c>
      <c r="J446" s="22" t="s">
        <v>271</v>
      </c>
      <c r="K446" s="23"/>
    </row>
    <row r="447" spans="2:11" ht="15" customHeight="1" x14ac:dyDescent="0.2">
      <c r="B447" s="16" t="s">
        <v>1002</v>
      </c>
      <c r="C447" s="16" t="s">
        <v>1006</v>
      </c>
      <c r="D447" s="16" t="s">
        <v>1049</v>
      </c>
      <c r="E447" s="16" t="s">
        <v>1021</v>
      </c>
      <c r="F447" s="16" t="s">
        <v>1023</v>
      </c>
      <c r="G447" s="16" t="s">
        <v>1030</v>
      </c>
      <c r="H447" s="21" t="s">
        <v>745</v>
      </c>
      <c r="I447" s="18" t="str">
        <f t="shared" si="11"/>
        <v>71RB</v>
      </c>
      <c r="J447" s="22" t="s">
        <v>271</v>
      </c>
      <c r="K447" s="23"/>
    </row>
    <row r="448" spans="2:11" ht="15" customHeight="1" x14ac:dyDescent="0.2">
      <c r="B448" s="16" t="s">
        <v>1002</v>
      </c>
      <c r="C448" s="16" t="s">
        <v>1006</v>
      </c>
      <c r="D448" s="16" t="s">
        <v>1049</v>
      </c>
      <c r="E448" s="16" t="s">
        <v>1021</v>
      </c>
      <c r="F448" s="16" t="s">
        <v>1023</v>
      </c>
      <c r="G448" s="16" t="s">
        <v>1030</v>
      </c>
      <c r="H448" s="21" t="s">
        <v>746</v>
      </c>
      <c r="I448" s="18" t="str">
        <f t="shared" si="11"/>
        <v>72RB</v>
      </c>
      <c r="J448" s="22" t="s">
        <v>271</v>
      </c>
      <c r="K448" s="23"/>
    </row>
    <row r="449" spans="2:11" ht="15" customHeight="1" x14ac:dyDescent="0.2">
      <c r="B449" s="16" t="s">
        <v>1002</v>
      </c>
      <c r="C449" s="16" t="s">
        <v>1006</v>
      </c>
      <c r="D449" s="16" t="s">
        <v>1049</v>
      </c>
      <c r="E449" s="16" t="s">
        <v>1021</v>
      </c>
      <c r="F449" s="16" t="s">
        <v>1023</v>
      </c>
      <c r="G449" s="16" t="s">
        <v>1030</v>
      </c>
      <c r="H449" s="21" t="s">
        <v>747</v>
      </c>
      <c r="I449" s="18" t="str">
        <f t="shared" si="11"/>
        <v>84RB</v>
      </c>
      <c r="J449" s="22" t="s">
        <v>271</v>
      </c>
      <c r="K449" s="23"/>
    </row>
    <row r="450" spans="2:11" ht="15" customHeight="1" x14ac:dyDescent="0.2">
      <c r="B450" s="16" t="s">
        <v>1002</v>
      </c>
      <c r="C450" s="16" t="s">
        <v>1006</v>
      </c>
      <c r="D450" s="16" t="s">
        <v>1049</v>
      </c>
      <c r="E450" s="16" t="s">
        <v>1021</v>
      </c>
      <c r="F450" s="16" t="s">
        <v>1023</v>
      </c>
      <c r="G450" s="16" t="s">
        <v>1030</v>
      </c>
      <c r="H450" s="21" t="s">
        <v>748</v>
      </c>
      <c r="I450" s="18" t="str">
        <f t="shared" si="11"/>
        <v>89RB</v>
      </c>
      <c r="J450" s="22" t="s">
        <v>271</v>
      </c>
      <c r="K450" s="23"/>
    </row>
    <row r="451" spans="2:11" s="13" customFormat="1" ht="15.75" customHeight="1" x14ac:dyDescent="0.25">
      <c r="B451" s="24"/>
      <c r="C451" s="24"/>
      <c r="D451" s="24"/>
      <c r="E451" s="24"/>
      <c r="F451" s="24"/>
      <c r="G451" s="24"/>
      <c r="H451" s="17" t="s">
        <v>515</v>
      </c>
      <c r="I451" s="18"/>
      <c r="J451" s="19" t="s">
        <v>273</v>
      </c>
      <c r="K451" s="20">
        <v>0</v>
      </c>
    </row>
    <row r="452" spans="2:11" s="13" customFormat="1" ht="15.75" customHeight="1" x14ac:dyDescent="0.25">
      <c r="B452" s="24"/>
      <c r="C452" s="24"/>
      <c r="D452" s="24"/>
      <c r="E452" s="24"/>
      <c r="F452" s="24"/>
      <c r="G452" s="24"/>
      <c r="H452" s="17" t="s">
        <v>516</v>
      </c>
      <c r="I452" s="18"/>
      <c r="J452" s="19" t="s">
        <v>275</v>
      </c>
      <c r="K452" s="20">
        <v>0</v>
      </c>
    </row>
    <row r="453" spans="2:11" ht="15" customHeight="1" x14ac:dyDescent="0.2">
      <c r="B453" s="16" t="s">
        <v>1002</v>
      </c>
      <c r="C453" s="16" t="s">
        <v>1006</v>
      </c>
      <c r="D453" s="16" t="s">
        <v>1049</v>
      </c>
      <c r="E453" s="16" t="s">
        <v>1017</v>
      </c>
      <c r="F453" s="16" t="s">
        <v>1023</v>
      </c>
      <c r="G453" s="16" t="s">
        <v>1031</v>
      </c>
      <c r="H453" s="21" t="s">
        <v>517</v>
      </c>
      <c r="I453" s="18" t="str">
        <f>RIGHT(H453,4)</f>
        <v>- 30</v>
      </c>
      <c r="J453" s="22" t="s">
        <v>275</v>
      </c>
      <c r="K453" s="23">
        <v>0</v>
      </c>
    </row>
    <row r="454" spans="2:11" ht="15.75" customHeight="1" x14ac:dyDescent="0.25">
      <c r="B454" s="16"/>
      <c r="C454" s="16"/>
      <c r="D454" s="16"/>
      <c r="E454" s="16"/>
      <c r="F454" s="16"/>
      <c r="G454" s="16"/>
      <c r="H454" s="41" t="s">
        <v>794</v>
      </c>
      <c r="I454" s="42"/>
      <c r="J454" s="19" t="s">
        <v>795</v>
      </c>
      <c r="K454" s="20">
        <v>64394687927</v>
      </c>
    </row>
    <row r="455" spans="2:11" s="13" customFormat="1" ht="15.75" customHeight="1" x14ac:dyDescent="0.25">
      <c r="B455" s="24"/>
      <c r="C455" s="24"/>
      <c r="D455" s="24"/>
      <c r="E455" s="24"/>
      <c r="F455" s="24"/>
      <c r="G455" s="24"/>
      <c r="H455" s="17" t="s">
        <v>518</v>
      </c>
      <c r="I455" s="18"/>
      <c r="J455" s="19" t="s">
        <v>1</v>
      </c>
      <c r="K455" s="20">
        <v>64394687927</v>
      </c>
    </row>
    <row r="456" spans="2:11" s="13" customFormat="1" ht="15.75" customHeight="1" x14ac:dyDescent="0.25">
      <c r="B456" s="24"/>
      <c r="C456" s="24"/>
      <c r="D456" s="24"/>
      <c r="E456" s="24"/>
      <c r="F456" s="24"/>
      <c r="G456" s="24"/>
      <c r="H456" s="17" t="s">
        <v>519</v>
      </c>
      <c r="I456" s="18"/>
      <c r="J456" s="19" t="s">
        <v>3</v>
      </c>
      <c r="K456" s="20">
        <v>62699641878</v>
      </c>
    </row>
    <row r="457" spans="2:11" s="13" customFormat="1" ht="15.75" customHeight="1" x14ac:dyDescent="0.25">
      <c r="B457" s="24"/>
      <c r="C457" s="24"/>
      <c r="D457" s="24"/>
      <c r="E457" s="24"/>
      <c r="F457" s="24"/>
      <c r="G457" s="24"/>
      <c r="H457" s="17" t="s">
        <v>520</v>
      </c>
      <c r="I457" s="18"/>
      <c r="J457" s="19" t="s">
        <v>5</v>
      </c>
      <c r="K457" s="20">
        <v>46881450025</v>
      </c>
    </row>
    <row r="458" spans="2:11" s="13" customFormat="1" ht="15.75" customHeight="1" x14ac:dyDescent="0.25">
      <c r="B458" s="24"/>
      <c r="C458" s="24"/>
      <c r="D458" s="24"/>
      <c r="E458" s="24"/>
      <c r="F458" s="24"/>
      <c r="G458" s="24"/>
      <c r="H458" s="17" t="s">
        <v>521</v>
      </c>
      <c r="I458" s="18"/>
      <c r="J458" s="19" t="s">
        <v>7</v>
      </c>
      <c r="K458" s="20">
        <v>708658054</v>
      </c>
    </row>
    <row r="459" spans="2:11" ht="15" customHeight="1" x14ac:dyDescent="0.2">
      <c r="B459" s="16"/>
      <c r="C459" s="16"/>
      <c r="D459" s="16"/>
      <c r="E459" s="16"/>
      <c r="F459" s="16"/>
      <c r="G459" s="16"/>
      <c r="H459" s="21" t="s">
        <v>522</v>
      </c>
      <c r="I459" s="18"/>
      <c r="J459" s="22" t="s">
        <v>331</v>
      </c>
      <c r="K459" s="23">
        <v>708658054</v>
      </c>
    </row>
    <row r="460" spans="2:11" ht="15" customHeight="1" x14ac:dyDescent="0.2">
      <c r="B460" s="16" t="s">
        <v>1002</v>
      </c>
      <c r="C460" s="16" t="s">
        <v>1006</v>
      </c>
      <c r="D460" s="16" t="s">
        <v>1050</v>
      </c>
      <c r="E460" s="16" t="s">
        <v>1021</v>
      </c>
      <c r="F460" s="16" t="s">
        <v>1022</v>
      </c>
      <c r="G460" s="16" t="s">
        <v>1024</v>
      </c>
      <c r="H460" s="21" t="s">
        <v>523</v>
      </c>
      <c r="I460" s="18" t="str">
        <f>RIGHT(H460,4)</f>
        <v xml:space="preserve"> 71A</v>
      </c>
      <c r="J460" s="22" t="s">
        <v>331</v>
      </c>
      <c r="K460" s="23">
        <v>708658054</v>
      </c>
    </row>
    <row r="461" spans="2:11" s="13" customFormat="1" ht="15.75" customHeight="1" x14ac:dyDescent="0.25">
      <c r="B461" s="24"/>
      <c r="C461" s="24"/>
      <c r="D461" s="24"/>
      <c r="E461" s="24"/>
      <c r="F461" s="24"/>
      <c r="G461" s="24"/>
      <c r="H461" s="17" t="s">
        <v>524</v>
      </c>
      <c r="I461" s="18"/>
      <c r="J461" s="19" t="s">
        <v>14</v>
      </c>
      <c r="K461" s="20">
        <v>46172791971</v>
      </c>
    </row>
    <row r="462" spans="2:11" ht="15" customHeight="1" x14ac:dyDescent="0.2">
      <c r="B462" s="16"/>
      <c r="C462" s="16"/>
      <c r="D462" s="16"/>
      <c r="E462" s="16"/>
      <c r="F462" s="16"/>
      <c r="G462" s="16"/>
      <c r="H462" s="21" t="s">
        <v>525</v>
      </c>
      <c r="I462" s="18"/>
      <c r="J462" s="22" t="s">
        <v>335</v>
      </c>
      <c r="K462" s="23">
        <v>713183269</v>
      </c>
    </row>
    <row r="463" spans="2:11" ht="15" customHeight="1" x14ac:dyDescent="0.2">
      <c r="B463" s="16" t="s">
        <v>1002</v>
      </c>
      <c r="C463" s="16" t="s">
        <v>1006</v>
      </c>
      <c r="D463" s="16" t="s">
        <v>1050</v>
      </c>
      <c r="E463" s="16" t="s">
        <v>1021</v>
      </c>
      <c r="F463" s="16" t="s">
        <v>1022</v>
      </c>
      <c r="G463" s="16" t="s">
        <v>1025</v>
      </c>
      <c r="H463" s="21" t="s">
        <v>526</v>
      </c>
      <c r="I463" s="18" t="str">
        <f>RIGHT(H463,4)</f>
        <v>- 72</v>
      </c>
      <c r="J463" s="22" t="s">
        <v>335</v>
      </c>
      <c r="K463" s="23">
        <v>0</v>
      </c>
    </row>
    <row r="464" spans="2:11" ht="15" customHeight="1" x14ac:dyDescent="0.2">
      <c r="B464" s="16" t="s">
        <v>1002</v>
      </c>
      <c r="C464" s="16" t="s">
        <v>1006</v>
      </c>
      <c r="D464" s="16" t="s">
        <v>1050</v>
      </c>
      <c r="E464" s="16" t="s">
        <v>1021</v>
      </c>
      <c r="F464" s="16" t="s">
        <v>1022</v>
      </c>
      <c r="G464" s="16" t="s">
        <v>1025</v>
      </c>
      <c r="H464" s="21" t="s">
        <v>527</v>
      </c>
      <c r="I464" s="18" t="str">
        <f>RIGHT(H464,4)</f>
        <v xml:space="preserve"> 72A</v>
      </c>
      <c r="J464" s="22" t="s">
        <v>335</v>
      </c>
      <c r="K464" s="23">
        <v>713183269</v>
      </c>
    </row>
    <row r="465" spans="2:11" ht="15" customHeight="1" x14ac:dyDescent="0.2">
      <c r="B465" s="16"/>
      <c r="C465" s="16"/>
      <c r="D465" s="16"/>
      <c r="E465" s="16"/>
      <c r="F465" s="16"/>
      <c r="G465" s="16"/>
      <c r="H465" s="21" t="s">
        <v>528</v>
      </c>
      <c r="I465" s="18"/>
      <c r="J465" s="22" t="s">
        <v>338</v>
      </c>
      <c r="K465" s="23">
        <v>0</v>
      </c>
    </row>
    <row r="466" spans="2:11" ht="15" customHeight="1" x14ac:dyDescent="0.2">
      <c r="B466" s="16" t="s">
        <v>1002</v>
      </c>
      <c r="C466" s="16" t="s">
        <v>1006</v>
      </c>
      <c r="D466" s="16" t="s">
        <v>1050</v>
      </c>
      <c r="E466" s="16" t="s">
        <v>1021</v>
      </c>
      <c r="F466" s="16" t="s">
        <v>1022</v>
      </c>
      <c r="G466" s="16" t="s">
        <v>1025</v>
      </c>
      <c r="H466" s="21" t="s">
        <v>529</v>
      </c>
      <c r="I466" s="18" t="str">
        <f>RIGHT(H466,4)</f>
        <v>150A</v>
      </c>
      <c r="J466" s="22" t="s">
        <v>338</v>
      </c>
      <c r="K466" s="23">
        <v>0</v>
      </c>
    </row>
    <row r="467" spans="2:11" ht="15" customHeight="1" x14ac:dyDescent="0.2">
      <c r="B467" s="16"/>
      <c r="C467" s="16"/>
      <c r="D467" s="16"/>
      <c r="E467" s="16"/>
      <c r="F467" s="16"/>
      <c r="G467" s="16"/>
      <c r="H467" s="21" t="s">
        <v>530</v>
      </c>
      <c r="I467" s="18"/>
      <c r="J467" s="22" t="s">
        <v>29</v>
      </c>
      <c r="K467" s="23">
        <v>1230361233</v>
      </c>
    </row>
    <row r="468" spans="2:11" ht="15" customHeight="1" x14ac:dyDescent="0.2">
      <c r="B468" s="16"/>
      <c r="C468" s="16"/>
      <c r="D468" s="16"/>
      <c r="E468" s="16"/>
      <c r="F468" s="16"/>
      <c r="G468" s="16"/>
      <c r="H468" s="21" t="s">
        <v>531</v>
      </c>
      <c r="I468" s="18"/>
      <c r="J468" s="22" t="s">
        <v>31</v>
      </c>
      <c r="K468" s="23">
        <v>1230361233</v>
      </c>
    </row>
    <row r="469" spans="2:11" ht="30" customHeight="1" x14ac:dyDescent="0.2">
      <c r="B469" s="16"/>
      <c r="C469" s="16"/>
      <c r="D469" s="16"/>
      <c r="E469" s="16"/>
      <c r="F469" s="16"/>
      <c r="G469" s="16"/>
      <c r="H469" s="21" t="s">
        <v>532</v>
      </c>
      <c r="I469" s="18"/>
      <c r="J469" s="22" t="s">
        <v>33</v>
      </c>
      <c r="K469" s="23">
        <v>531624896</v>
      </c>
    </row>
    <row r="470" spans="2:11" ht="30" customHeight="1" x14ac:dyDescent="0.2">
      <c r="B470" s="16" t="s">
        <v>1002</v>
      </c>
      <c r="C470" s="16" t="s">
        <v>1006</v>
      </c>
      <c r="D470" s="16" t="s">
        <v>1050</v>
      </c>
      <c r="E470" s="16" t="s">
        <v>1021</v>
      </c>
      <c r="F470" s="16" t="s">
        <v>1022</v>
      </c>
      <c r="G470" s="16" t="s">
        <v>1025</v>
      </c>
      <c r="H470" s="21" t="s">
        <v>533</v>
      </c>
      <c r="I470" s="18" t="str">
        <f>RIGHT(H470,4)</f>
        <v xml:space="preserve"> 150</v>
      </c>
      <c r="J470" s="22" t="s">
        <v>35</v>
      </c>
      <c r="K470" s="23">
        <v>249935979</v>
      </c>
    </row>
    <row r="471" spans="2:11" ht="12.95" customHeight="1" x14ac:dyDescent="0.2">
      <c r="B471" s="16" t="s">
        <v>1002</v>
      </c>
      <c r="C471" s="16" t="s">
        <v>1006</v>
      </c>
      <c r="D471" s="16" t="s">
        <v>1050</v>
      </c>
      <c r="E471" s="16" t="s">
        <v>1021</v>
      </c>
      <c r="F471" s="16" t="s">
        <v>1022</v>
      </c>
      <c r="G471" s="16" t="s">
        <v>1025</v>
      </c>
      <c r="H471" s="21" t="s">
        <v>534</v>
      </c>
      <c r="I471" s="18" t="str">
        <f>RIGHT(H471,4)</f>
        <v>150A</v>
      </c>
      <c r="J471" s="22" t="s">
        <v>38</v>
      </c>
      <c r="K471" s="23">
        <v>281688917</v>
      </c>
    </row>
    <row r="472" spans="2:11" ht="30" customHeight="1" x14ac:dyDescent="0.2">
      <c r="B472" s="16"/>
      <c r="C472" s="16"/>
      <c r="D472" s="16"/>
      <c r="E472" s="16"/>
      <c r="F472" s="16"/>
      <c r="G472" s="16"/>
      <c r="H472" s="21" t="s">
        <v>535</v>
      </c>
      <c r="I472" s="18"/>
      <c r="J472" s="22" t="s">
        <v>41</v>
      </c>
      <c r="K472" s="23">
        <v>698736337</v>
      </c>
    </row>
    <row r="473" spans="2:11" ht="30" customHeight="1" x14ac:dyDescent="0.2">
      <c r="B473" s="16" t="s">
        <v>1002</v>
      </c>
      <c r="C473" s="16" t="s">
        <v>1006</v>
      </c>
      <c r="D473" s="16" t="s">
        <v>1050</v>
      </c>
      <c r="E473" s="16" t="s">
        <v>1021</v>
      </c>
      <c r="F473" s="16" t="s">
        <v>1022</v>
      </c>
      <c r="G473" s="16" t="s">
        <v>1025</v>
      </c>
      <c r="H473" s="21" t="s">
        <v>536</v>
      </c>
      <c r="I473" s="18" t="str">
        <f>RIGHT(H473,4)</f>
        <v xml:space="preserve"> 150</v>
      </c>
      <c r="J473" s="22" t="s">
        <v>43</v>
      </c>
      <c r="K473" s="23">
        <v>276202964</v>
      </c>
    </row>
    <row r="474" spans="2:11" ht="35.1" customHeight="1" x14ac:dyDescent="0.2">
      <c r="B474" s="16" t="s">
        <v>1002</v>
      </c>
      <c r="C474" s="16" t="s">
        <v>1006</v>
      </c>
      <c r="D474" s="16" t="s">
        <v>1050</v>
      </c>
      <c r="E474" s="16" t="s">
        <v>1021</v>
      </c>
      <c r="F474" s="16" t="s">
        <v>1022</v>
      </c>
      <c r="G474" s="16" t="s">
        <v>1025</v>
      </c>
      <c r="H474" s="21" t="s">
        <v>537</v>
      </c>
      <c r="I474" s="18" t="str">
        <f>RIGHT(H474,4)</f>
        <v>150A</v>
      </c>
      <c r="J474" s="22" t="s">
        <v>46</v>
      </c>
      <c r="K474" s="23">
        <v>422533373</v>
      </c>
    </row>
    <row r="475" spans="2:11" ht="18.75" customHeight="1" x14ac:dyDescent="0.2">
      <c r="B475" s="16"/>
      <c r="C475" s="16"/>
      <c r="D475" s="16"/>
      <c r="E475" s="16"/>
      <c r="F475" s="16"/>
      <c r="G475" s="16"/>
      <c r="H475" s="21" t="s">
        <v>538</v>
      </c>
      <c r="I475" s="18"/>
      <c r="J475" s="22" t="s">
        <v>49</v>
      </c>
      <c r="K475" s="23">
        <v>8897038699</v>
      </c>
    </row>
    <row r="476" spans="2:11" ht="18.75" customHeight="1" x14ac:dyDescent="0.2">
      <c r="B476" s="16"/>
      <c r="C476" s="16"/>
      <c r="D476" s="16"/>
      <c r="E476" s="16"/>
      <c r="F476" s="16"/>
      <c r="G476" s="16"/>
      <c r="H476" s="21" t="s">
        <v>539</v>
      </c>
      <c r="I476" s="18"/>
      <c r="J476" s="22" t="s">
        <v>51</v>
      </c>
      <c r="K476" s="23">
        <v>8893541892</v>
      </c>
    </row>
    <row r="477" spans="2:11" ht="18.75" customHeight="1" x14ac:dyDescent="0.2">
      <c r="B477" s="16" t="s">
        <v>1002</v>
      </c>
      <c r="C477" s="16" t="s">
        <v>1006</v>
      </c>
      <c r="D477" s="16" t="s">
        <v>1050</v>
      </c>
      <c r="E477" s="16" t="s">
        <v>1021</v>
      </c>
      <c r="F477" s="16" t="s">
        <v>1022</v>
      </c>
      <c r="G477" s="16" t="s">
        <v>1025</v>
      </c>
      <c r="H477" s="21" t="s">
        <v>540</v>
      </c>
      <c r="I477" s="18" t="str">
        <f>RIGHT(H477,4)</f>
        <v>- 29</v>
      </c>
      <c r="J477" s="22" t="s">
        <v>51</v>
      </c>
      <c r="K477" s="23">
        <v>8893541892</v>
      </c>
    </row>
    <row r="478" spans="2:11" ht="19.5" customHeight="1" x14ac:dyDescent="0.2">
      <c r="B478" s="16"/>
      <c r="C478" s="16"/>
      <c r="D478" s="16"/>
      <c r="E478" s="16"/>
      <c r="F478" s="16"/>
      <c r="G478" s="16"/>
      <c r="H478" s="21" t="s">
        <v>541</v>
      </c>
      <c r="I478" s="18"/>
      <c r="J478" s="22" t="s">
        <v>54</v>
      </c>
      <c r="K478" s="23">
        <v>3496807</v>
      </c>
    </row>
    <row r="479" spans="2:11" ht="18.600000000000001" customHeight="1" x14ac:dyDescent="0.2">
      <c r="B479" s="16" t="s">
        <v>1002</v>
      </c>
      <c r="C479" s="16" t="s">
        <v>1006</v>
      </c>
      <c r="D479" s="16" t="s">
        <v>1050</v>
      </c>
      <c r="E479" s="16" t="s">
        <v>1021</v>
      </c>
      <c r="F479" s="16" t="s">
        <v>1022</v>
      </c>
      <c r="G479" s="16" t="s">
        <v>1025</v>
      </c>
      <c r="H479" s="21" t="s">
        <v>542</v>
      </c>
      <c r="I479" s="18" t="str">
        <f>RIGHT(H479,4)</f>
        <v>- 29</v>
      </c>
      <c r="J479" s="22" t="s">
        <v>54</v>
      </c>
      <c r="K479" s="23">
        <v>0</v>
      </c>
    </row>
    <row r="480" spans="2:11" ht="18.75" customHeight="1" x14ac:dyDescent="0.2">
      <c r="B480" s="16" t="s">
        <v>1002</v>
      </c>
      <c r="C480" s="16" t="s">
        <v>1006</v>
      </c>
      <c r="D480" s="16" t="s">
        <v>1050</v>
      </c>
      <c r="E480" s="16" t="s">
        <v>1021</v>
      </c>
      <c r="F480" s="16" t="s">
        <v>1022</v>
      </c>
      <c r="G480" s="16" t="s">
        <v>1025</v>
      </c>
      <c r="H480" s="21" t="s">
        <v>543</v>
      </c>
      <c r="I480" s="18" t="str">
        <f>RIGHT(H480,4)</f>
        <v xml:space="preserve"> 29A</v>
      </c>
      <c r="J480" s="22" t="s">
        <v>54</v>
      </c>
      <c r="K480" s="23">
        <v>3496807</v>
      </c>
    </row>
    <row r="481" spans="2:11" ht="18.75" customHeight="1" x14ac:dyDescent="0.2">
      <c r="B481" s="16"/>
      <c r="C481" s="16"/>
      <c r="D481" s="16"/>
      <c r="E481" s="16"/>
      <c r="F481" s="16"/>
      <c r="G481" s="16"/>
      <c r="H481" s="21" t="s">
        <v>544</v>
      </c>
      <c r="I481" s="18"/>
      <c r="J481" s="22" t="s">
        <v>57</v>
      </c>
      <c r="K481" s="23">
        <v>35332208770</v>
      </c>
    </row>
    <row r="482" spans="2:11" ht="15" customHeight="1" x14ac:dyDescent="0.2">
      <c r="B482" s="16"/>
      <c r="C482" s="16"/>
      <c r="D482" s="16"/>
      <c r="E482" s="16"/>
      <c r="F482" s="16"/>
      <c r="G482" s="16"/>
      <c r="H482" s="21" t="s">
        <v>749</v>
      </c>
      <c r="I482" s="18"/>
      <c r="J482" s="22" t="s">
        <v>59</v>
      </c>
      <c r="K482" s="23">
        <v>0</v>
      </c>
    </row>
    <row r="483" spans="2:11" ht="30" customHeight="1" x14ac:dyDescent="0.2">
      <c r="B483" s="16"/>
      <c r="C483" s="16"/>
      <c r="D483" s="16"/>
      <c r="E483" s="16"/>
      <c r="F483" s="16"/>
      <c r="G483" s="16"/>
      <c r="H483" s="21" t="s">
        <v>750</v>
      </c>
      <c r="I483" s="18"/>
      <c r="J483" s="22" t="s">
        <v>61</v>
      </c>
      <c r="K483" s="23"/>
    </row>
    <row r="484" spans="2:11" ht="30" customHeight="1" x14ac:dyDescent="0.2">
      <c r="B484" s="16"/>
      <c r="C484" s="16"/>
      <c r="D484" s="16"/>
      <c r="E484" s="16"/>
      <c r="F484" s="16"/>
      <c r="G484" s="16"/>
      <c r="H484" s="21" t="s">
        <v>545</v>
      </c>
      <c r="I484" s="18"/>
      <c r="J484" s="22" t="s">
        <v>546</v>
      </c>
      <c r="K484" s="23">
        <v>35332208770</v>
      </c>
    </row>
    <row r="485" spans="2:11" ht="30" customHeight="1" x14ac:dyDescent="0.2">
      <c r="B485" s="16"/>
      <c r="C485" s="16"/>
      <c r="D485" s="16"/>
      <c r="E485" s="16"/>
      <c r="F485" s="16"/>
      <c r="G485" s="16"/>
      <c r="H485" s="21" t="s">
        <v>547</v>
      </c>
      <c r="I485" s="18"/>
      <c r="J485" s="22" t="s">
        <v>548</v>
      </c>
      <c r="K485" s="23">
        <v>35332208770</v>
      </c>
    </row>
    <row r="486" spans="2:11" ht="30" customHeight="1" x14ac:dyDescent="0.2">
      <c r="B486" s="16" t="s">
        <v>1002</v>
      </c>
      <c r="C486" s="16" t="s">
        <v>1006</v>
      </c>
      <c r="D486" s="16" t="s">
        <v>1050</v>
      </c>
      <c r="E486" s="16" t="s">
        <v>1021</v>
      </c>
      <c r="F486" s="16" t="s">
        <v>1022</v>
      </c>
      <c r="G486" s="16" t="s">
        <v>1025</v>
      </c>
      <c r="H486" s="21" t="s">
        <v>689</v>
      </c>
      <c r="I486" s="18" t="str">
        <f>RIGHT(H486,4)</f>
        <v>- 56</v>
      </c>
      <c r="J486" s="22" t="s">
        <v>61</v>
      </c>
      <c r="K486" s="23">
        <v>25439190315</v>
      </c>
    </row>
    <row r="487" spans="2:11" ht="30" customHeight="1" x14ac:dyDescent="0.2">
      <c r="B487" s="16" t="s">
        <v>1002</v>
      </c>
      <c r="C487" s="16" t="s">
        <v>1006</v>
      </c>
      <c r="D487" s="16" t="s">
        <v>1050</v>
      </c>
      <c r="E487" s="16" t="s">
        <v>1021</v>
      </c>
      <c r="F487" s="16" t="s">
        <v>1022</v>
      </c>
      <c r="G487" s="16" t="s">
        <v>1025</v>
      </c>
      <c r="H487" s="21" t="s">
        <v>549</v>
      </c>
      <c r="I487" s="18" t="str">
        <f>RIGHT(H487,4)</f>
        <v xml:space="preserve"> 56A</v>
      </c>
      <c r="J487" s="22" t="s">
        <v>548</v>
      </c>
      <c r="K487" s="23">
        <v>9893018455</v>
      </c>
    </row>
    <row r="488" spans="2:11" s="13" customFormat="1" ht="15.75" customHeight="1" x14ac:dyDescent="0.25">
      <c r="B488" s="24"/>
      <c r="C488" s="24"/>
      <c r="D488" s="24"/>
      <c r="E488" s="24"/>
      <c r="F488" s="24"/>
      <c r="G488" s="24"/>
      <c r="H488" s="17" t="s">
        <v>550</v>
      </c>
      <c r="I488" s="18"/>
      <c r="J488" s="19" t="s">
        <v>86</v>
      </c>
      <c r="K488" s="20">
        <v>15818191853</v>
      </c>
    </row>
    <row r="489" spans="2:11" s="13" customFormat="1" ht="15.75" customHeight="1" x14ac:dyDescent="0.25">
      <c r="B489" s="24"/>
      <c r="C489" s="24"/>
      <c r="D489" s="24"/>
      <c r="E489" s="24"/>
      <c r="F489" s="24"/>
      <c r="G489" s="24"/>
      <c r="H489" s="17" t="s">
        <v>551</v>
      </c>
      <c r="I489" s="18"/>
      <c r="J489" s="19" t="s">
        <v>195</v>
      </c>
      <c r="K489" s="20">
        <v>15818191853</v>
      </c>
    </row>
    <row r="490" spans="2:11" ht="15" customHeight="1" x14ac:dyDescent="0.2">
      <c r="B490" s="16"/>
      <c r="C490" s="16"/>
      <c r="D490" s="16"/>
      <c r="E490" s="16"/>
      <c r="F490" s="16"/>
      <c r="G490" s="16"/>
      <c r="H490" s="21" t="s">
        <v>552</v>
      </c>
      <c r="I490" s="18"/>
      <c r="J490" s="22" t="s">
        <v>362</v>
      </c>
      <c r="K490" s="23">
        <v>9180213392</v>
      </c>
    </row>
    <row r="491" spans="2:11" ht="15" customHeight="1" x14ac:dyDescent="0.2">
      <c r="B491" s="16"/>
      <c r="C491" s="16"/>
      <c r="D491" s="16"/>
      <c r="E491" s="16"/>
      <c r="F491" s="16"/>
      <c r="G491" s="16"/>
      <c r="H491" s="21" t="s">
        <v>553</v>
      </c>
      <c r="I491" s="18"/>
      <c r="J491" s="22" t="s">
        <v>364</v>
      </c>
      <c r="K491" s="23">
        <v>2167426947</v>
      </c>
    </row>
    <row r="492" spans="2:11" ht="15" customHeight="1" x14ac:dyDescent="0.2">
      <c r="B492" s="16" t="s">
        <v>1002</v>
      </c>
      <c r="C492" s="16" t="s">
        <v>1006</v>
      </c>
      <c r="D492" s="16" t="s">
        <v>1050</v>
      </c>
      <c r="E492" s="16" t="s">
        <v>1021</v>
      </c>
      <c r="F492" s="16" t="s">
        <v>1022</v>
      </c>
      <c r="G492" s="16" t="s">
        <v>1025</v>
      </c>
      <c r="H492" s="21" t="s">
        <v>554</v>
      </c>
      <c r="I492" s="18" t="str">
        <f t="shared" ref="I492:I499" si="12">RIGHT(H492,4)</f>
        <v xml:space="preserve"> 71A</v>
      </c>
      <c r="J492" s="22" t="s">
        <v>364</v>
      </c>
      <c r="K492" s="23">
        <v>2167426947</v>
      </c>
    </row>
    <row r="493" spans="2:11" ht="30" customHeight="1" x14ac:dyDescent="0.2">
      <c r="B493" s="16"/>
      <c r="C493" s="16"/>
      <c r="D493" s="16"/>
      <c r="E493" s="16"/>
      <c r="F493" s="16"/>
      <c r="G493" s="16"/>
      <c r="H493" s="21" t="s">
        <v>555</v>
      </c>
      <c r="I493" s="18"/>
      <c r="J493" s="22" t="s">
        <v>367</v>
      </c>
      <c r="K493" s="23">
        <v>4943367666</v>
      </c>
    </row>
    <row r="494" spans="2:11" ht="30" customHeight="1" x14ac:dyDescent="0.2">
      <c r="B494" s="16" t="s">
        <v>1002</v>
      </c>
      <c r="C494" s="16" t="s">
        <v>1006</v>
      </c>
      <c r="D494" s="16" t="s">
        <v>1050</v>
      </c>
      <c r="E494" s="16" t="s">
        <v>1021</v>
      </c>
      <c r="F494" s="16" t="s">
        <v>1022</v>
      </c>
      <c r="G494" s="16" t="s">
        <v>1025</v>
      </c>
      <c r="H494" s="21" t="s">
        <v>556</v>
      </c>
      <c r="I494" s="18" t="str">
        <f t="shared" si="12"/>
        <v xml:space="preserve"> 70A</v>
      </c>
      <c r="J494" s="22" t="s">
        <v>367</v>
      </c>
      <c r="K494" s="23">
        <v>4943367666</v>
      </c>
    </row>
    <row r="495" spans="2:11" ht="30" customHeight="1" x14ac:dyDescent="0.2">
      <c r="B495" s="16"/>
      <c r="C495" s="16"/>
      <c r="D495" s="16"/>
      <c r="E495" s="16"/>
      <c r="F495" s="16"/>
      <c r="G495" s="16"/>
      <c r="H495" s="21" t="s">
        <v>557</v>
      </c>
      <c r="I495" s="18"/>
      <c r="J495" s="22" t="s">
        <v>370</v>
      </c>
      <c r="K495" s="23">
        <v>104198459</v>
      </c>
    </row>
    <row r="496" spans="2:11" ht="30" customHeight="1" x14ac:dyDescent="0.2">
      <c r="B496" s="16" t="s">
        <v>1002</v>
      </c>
      <c r="C496" s="16" t="s">
        <v>1006</v>
      </c>
      <c r="D496" s="16" t="s">
        <v>1050</v>
      </c>
      <c r="E496" s="16" t="s">
        <v>1021</v>
      </c>
      <c r="F496" s="16" t="s">
        <v>1022</v>
      </c>
      <c r="G496" s="16" t="s">
        <v>1025</v>
      </c>
      <c r="H496" s="21" t="s">
        <v>558</v>
      </c>
      <c r="I496" s="18" t="str">
        <f t="shared" si="12"/>
        <v>103A</v>
      </c>
      <c r="J496" s="22" t="s">
        <v>370</v>
      </c>
      <c r="K496" s="23">
        <v>104198459</v>
      </c>
    </row>
    <row r="497" spans="2:11" ht="15" customHeight="1" x14ac:dyDescent="0.2">
      <c r="B497" s="16"/>
      <c r="C497" s="16"/>
      <c r="D497" s="16"/>
      <c r="E497" s="16"/>
      <c r="F497" s="16"/>
      <c r="G497" s="16"/>
      <c r="H497" s="21" t="s">
        <v>559</v>
      </c>
      <c r="I497" s="18"/>
      <c r="J497" s="22" t="s">
        <v>373</v>
      </c>
      <c r="K497" s="23">
        <v>1965220320</v>
      </c>
    </row>
    <row r="498" spans="2:11" ht="15" customHeight="1" x14ac:dyDescent="0.2">
      <c r="B498" s="16" t="s">
        <v>1002</v>
      </c>
      <c r="C498" s="16" t="s">
        <v>1006</v>
      </c>
      <c r="D498" s="16" t="s">
        <v>1050</v>
      </c>
      <c r="E498" s="16" t="s">
        <v>1021</v>
      </c>
      <c r="F498" s="16" t="s">
        <v>1022</v>
      </c>
      <c r="G498" s="16" t="s">
        <v>1025</v>
      </c>
      <c r="H498" s="21" t="s">
        <v>560</v>
      </c>
      <c r="I498" s="18" t="str">
        <f t="shared" si="12"/>
        <v>- 89</v>
      </c>
      <c r="J498" s="22" t="s">
        <v>373</v>
      </c>
      <c r="K498" s="23">
        <v>0</v>
      </c>
    </row>
    <row r="499" spans="2:11" ht="15" customHeight="1" x14ac:dyDescent="0.2">
      <c r="B499" s="16" t="s">
        <v>1002</v>
      </c>
      <c r="C499" s="16" t="s">
        <v>1006</v>
      </c>
      <c r="D499" s="16" t="s">
        <v>1050</v>
      </c>
      <c r="E499" s="16" t="s">
        <v>1021</v>
      </c>
      <c r="F499" s="16" t="s">
        <v>1022</v>
      </c>
      <c r="G499" s="16" t="s">
        <v>1025</v>
      </c>
      <c r="H499" s="21" t="s">
        <v>561</v>
      </c>
      <c r="I499" s="18" t="str">
        <f t="shared" si="12"/>
        <v xml:space="preserve"> 89A</v>
      </c>
      <c r="J499" s="22" t="s">
        <v>373</v>
      </c>
      <c r="K499" s="23">
        <v>1965220320</v>
      </c>
    </row>
    <row r="500" spans="2:11" ht="30" customHeight="1" x14ac:dyDescent="0.2">
      <c r="B500" s="16"/>
      <c r="C500" s="16"/>
      <c r="D500" s="16"/>
      <c r="E500" s="16"/>
      <c r="F500" s="16"/>
      <c r="G500" s="16"/>
      <c r="H500" s="21" t="s">
        <v>562</v>
      </c>
      <c r="I500" s="18"/>
      <c r="J500" s="22" t="s">
        <v>197</v>
      </c>
      <c r="K500" s="23">
        <v>6637978461</v>
      </c>
    </row>
    <row r="501" spans="2:11" ht="30" customHeight="1" x14ac:dyDescent="0.2">
      <c r="B501" s="16"/>
      <c r="C501" s="16"/>
      <c r="D501" s="16"/>
      <c r="E501" s="16"/>
      <c r="F501" s="16"/>
      <c r="G501" s="16"/>
      <c r="H501" s="21" t="s">
        <v>563</v>
      </c>
      <c r="I501" s="18"/>
      <c r="J501" s="22" t="s">
        <v>199</v>
      </c>
      <c r="K501" s="23">
        <v>6637978461</v>
      </c>
    </row>
    <row r="502" spans="2:11" ht="15" customHeight="1" x14ac:dyDescent="0.2">
      <c r="B502" s="16"/>
      <c r="C502" s="16"/>
      <c r="D502" s="16"/>
      <c r="E502" s="16"/>
      <c r="F502" s="16"/>
      <c r="G502" s="16"/>
      <c r="H502" s="21" t="s">
        <v>564</v>
      </c>
      <c r="I502" s="18"/>
      <c r="J502" s="22" t="s">
        <v>201</v>
      </c>
      <c r="K502" s="23">
        <v>350490188</v>
      </c>
    </row>
    <row r="503" spans="2:11" ht="30" customHeight="1" x14ac:dyDescent="0.2">
      <c r="B503" s="16"/>
      <c r="C503" s="16"/>
      <c r="D503" s="16"/>
      <c r="E503" s="16"/>
      <c r="F503" s="16"/>
      <c r="G503" s="16"/>
      <c r="H503" s="21" t="s">
        <v>565</v>
      </c>
      <c r="I503" s="18"/>
      <c r="J503" s="22" t="s">
        <v>203</v>
      </c>
      <c r="K503" s="23">
        <v>248369853</v>
      </c>
    </row>
    <row r="504" spans="2:11" ht="30" customHeight="1" x14ac:dyDescent="0.2">
      <c r="B504" s="16" t="s">
        <v>1002</v>
      </c>
      <c r="C504" s="16" t="s">
        <v>1006</v>
      </c>
      <c r="D504" s="16" t="s">
        <v>1050</v>
      </c>
      <c r="E504" s="16" t="s">
        <v>1021</v>
      </c>
      <c r="F504" s="16" t="s">
        <v>1022</v>
      </c>
      <c r="G504" s="16" t="s">
        <v>1025</v>
      </c>
      <c r="H504" s="21" t="s">
        <v>566</v>
      </c>
      <c r="I504" s="18" t="str">
        <f>RIGHT(H504,4)</f>
        <v xml:space="preserve"> 150</v>
      </c>
      <c r="J504" s="22" t="s">
        <v>203</v>
      </c>
      <c r="K504" s="23">
        <v>248369853</v>
      </c>
    </row>
    <row r="505" spans="2:11" ht="30" customHeight="1" x14ac:dyDescent="0.2">
      <c r="B505" s="16"/>
      <c r="C505" s="16"/>
      <c r="D505" s="16"/>
      <c r="E505" s="16"/>
      <c r="F505" s="16"/>
      <c r="G505" s="16"/>
      <c r="H505" s="21" t="s">
        <v>567</v>
      </c>
      <c r="I505" s="18"/>
      <c r="J505" s="22" t="s">
        <v>207</v>
      </c>
      <c r="K505" s="23">
        <v>102120335</v>
      </c>
    </row>
    <row r="506" spans="2:11" ht="30" customHeight="1" x14ac:dyDescent="0.2">
      <c r="B506" s="16" t="s">
        <v>1002</v>
      </c>
      <c r="C506" s="16" t="s">
        <v>1006</v>
      </c>
      <c r="D506" s="16" t="s">
        <v>1050</v>
      </c>
      <c r="E506" s="16" t="s">
        <v>1021</v>
      </c>
      <c r="F506" s="16" t="s">
        <v>1022</v>
      </c>
      <c r="G506" s="16" t="s">
        <v>1025</v>
      </c>
      <c r="H506" s="21" t="s">
        <v>568</v>
      </c>
      <c r="I506" s="18" t="str">
        <f>RIGHT(H506,4)</f>
        <v xml:space="preserve"> 150</v>
      </c>
      <c r="J506" s="22" t="s">
        <v>207</v>
      </c>
      <c r="K506" s="23">
        <v>102120335</v>
      </c>
    </row>
    <row r="507" spans="2:11" ht="15" customHeight="1" x14ac:dyDescent="0.2">
      <c r="B507" s="16"/>
      <c r="C507" s="16"/>
      <c r="D507" s="16"/>
      <c r="E507" s="16"/>
      <c r="F507" s="16"/>
      <c r="G507" s="16"/>
      <c r="H507" s="21" t="s">
        <v>569</v>
      </c>
      <c r="I507" s="18"/>
      <c r="J507" s="22" t="s">
        <v>211</v>
      </c>
      <c r="K507" s="23">
        <v>6287488273</v>
      </c>
    </row>
    <row r="508" spans="2:11" ht="15" customHeight="1" x14ac:dyDescent="0.2">
      <c r="B508" s="16"/>
      <c r="C508" s="16"/>
      <c r="D508" s="16"/>
      <c r="E508" s="16"/>
      <c r="F508" s="16"/>
      <c r="G508" s="16"/>
      <c r="H508" s="21" t="s">
        <v>570</v>
      </c>
      <c r="I508" s="18"/>
      <c r="J508" s="22" t="s">
        <v>213</v>
      </c>
      <c r="K508" s="23">
        <v>6287488273</v>
      </c>
    </row>
    <row r="509" spans="2:11" ht="30" customHeight="1" x14ac:dyDescent="0.2">
      <c r="B509" s="16"/>
      <c r="C509" s="16"/>
      <c r="D509" s="16"/>
      <c r="E509" s="16"/>
      <c r="F509" s="16"/>
      <c r="G509" s="16"/>
      <c r="H509" s="21" t="s">
        <v>571</v>
      </c>
      <c r="I509" s="18"/>
      <c r="J509" s="22" t="s">
        <v>215</v>
      </c>
      <c r="K509" s="23">
        <v>3991648160</v>
      </c>
    </row>
    <row r="510" spans="2:11" ht="30" customHeight="1" x14ac:dyDescent="0.2">
      <c r="B510" s="16" t="s">
        <v>1002</v>
      </c>
      <c r="C510" s="16" t="s">
        <v>1006</v>
      </c>
      <c r="D510" s="16" t="s">
        <v>1050</v>
      </c>
      <c r="E510" s="16" t="s">
        <v>1021</v>
      </c>
      <c r="F510" s="16" t="s">
        <v>1022</v>
      </c>
      <c r="G510" s="16" t="s">
        <v>1025</v>
      </c>
      <c r="H510" s="21" t="s">
        <v>572</v>
      </c>
      <c r="I510" s="18" t="str">
        <f>RIGHT(H510,4)</f>
        <v xml:space="preserve"> 150</v>
      </c>
      <c r="J510" s="22" t="s">
        <v>215</v>
      </c>
      <c r="K510" s="23">
        <v>3991648160</v>
      </c>
    </row>
    <row r="511" spans="2:11" ht="30" customHeight="1" x14ac:dyDescent="0.2">
      <c r="B511" s="16"/>
      <c r="C511" s="16"/>
      <c r="D511" s="16"/>
      <c r="E511" s="16"/>
      <c r="F511" s="16"/>
      <c r="G511" s="16"/>
      <c r="H511" s="21" t="s">
        <v>573</v>
      </c>
      <c r="I511" s="18"/>
      <c r="J511" s="22" t="s">
        <v>219</v>
      </c>
      <c r="K511" s="23">
        <v>2295840113</v>
      </c>
    </row>
    <row r="512" spans="2:11" ht="30" customHeight="1" x14ac:dyDescent="0.2">
      <c r="B512" s="16"/>
      <c r="C512" s="16"/>
      <c r="D512" s="16"/>
      <c r="E512" s="16"/>
      <c r="F512" s="16"/>
      <c r="G512" s="16"/>
      <c r="H512" s="21" t="s">
        <v>574</v>
      </c>
      <c r="I512" s="18"/>
      <c r="J512" s="22" t="s">
        <v>221</v>
      </c>
      <c r="K512" s="23">
        <v>2295840113</v>
      </c>
    </row>
    <row r="513" spans="2:11" ht="30" customHeight="1" x14ac:dyDescent="0.2">
      <c r="B513" s="16" t="s">
        <v>1002</v>
      </c>
      <c r="C513" s="16" t="s">
        <v>1006</v>
      </c>
      <c r="D513" s="16" t="s">
        <v>1050</v>
      </c>
      <c r="E513" s="16" t="s">
        <v>1021</v>
      </c>
      <c r="F513" s="16" t="s">
        <v>1022</v>
      </c>
      <c r="G513" s="16" t="s">
        <v>1025</v>
      </c>
      <c r="H513" s="21" t="s">
        <v>575</v>
      </c>
      <c r="I513" s="18" t="str">
        <f>RIGHT(H513,4)</f>
        <v>150A</v>
      </c>
      <c r="J513" s="22" t="s">
        <v>221</v>
      </c>
      <c r="K513" s="23">
        <v>2295840113</v>
      </c>
    </row>
    <row r="514" spans="2:11" s="13" customFormat="1" ht="15.75" customHeight="1" x14ac:dyDescent="0.25">
      <c r="B514" s="24"/>
      <c r="C514" s="24"/>
      <c r="D514" s="24"/>
      <c r="E514" s="24"/>
      <c r="F514" s="24"/>
      <c r="G514" s="24"/>
      <c r="H514" s="17" t="s">
        <v>576</v>
      </c>
      <c r="I514" s="18"/>
      <c r="J514" s="19" t="s">
        <v>225</v>
      </c>
      <c r="K514" s="20">
        <v>1695046049</v>
      </c>
    </row>
    <row r="515" spans="2:11" s="13" customFormat="1" ht="15.75" customHeight="1" x14ac:dyDescent="0.25">
      <c r="B515" s="24"/>
      <c r="C515" s="24"/>
      <c r="D515" s="24"/>
      <c r="E515" s="24"/>
      <c r="F515" s="24"/>
      <c r="G515" s="24"/>
      <c r="H515" s="17" t="s">
        <v>577</v>
      </c>
      <c r="I515" s="18"/>
      <c r="J515" s="19" t="s">
        <v>239</v>
      </c>
      <c r="K515" s="20">
        <v>0</v>
      </c>
    </row>
    <row r="516" spans="2:11" ht="15" customHeight="1" x14ac:dyDescent="0.2">
      <c r="B516" s="16"/>
      <c r="C516" s="16"/>
      <c r="D516" s="16"/>
      <c r="E516" s="16"/>
      <c r="F516" s="16"/>
      <c r="G516" s="16"/>
      <c r="H516" s="21" t="s">
        <v>578</v>
      </c>
      <c r="I516" s="18"/>
      <c r="J516" s="22" t="s">
        <v>241</v>
      </c>
      <c r="K516" s="23">
        <v>0</v>
      </c>
    </row>
    <row r="517" spans="2:11" ht="15" customHeight="1" x14ac:dyDescent="0.2">
      <c r="B517" s="16" t="s">
        <v>1002</v>
      </c>
      <c r="C517" s="16" t="s">
        <v>1006</v>
      </c>
      <c r="D517" s="16" t="s">
        <v>1050</v>
      </c>
      <c r="E517" s="16" t="s">
        <v>1021</v>
      </c>
      <c r="F517" s="16" t="s">
        <v>1023</v>
      </c>
      <c r="G517" s="16" t="s">
        <v>1028</v>
      </c>
      <c r="H517" s="21" t="s">
        <v>579</v>
      </c>
      <c r="I517" s="18" t="str">
        <f>RIGHT(H517,4)</f>
        <v>106F</v>
      </c>
      <c r="J517" s="22" t="s">
        <v>241</v>
      </c>
      <c r="K517" s="23">
        <v>0</v>
      </c>
    </row>
    <row r="518" spans="2:11" ht="15" customHeight="1" x14ac:dyDescent="0.2">
      <c r="B518" s="16" t="s">
        <v>1002</v>
      </c>
      <c r="C518" s="16" t="s">
        <v>1006</v>
      </c>
      <c r="D518" s="16" t="s">
        <v>1050</v>
      </c>
      <c r="E518" s="16" t="s">
        <v>1021</v>
      </c>
      <c r="F518" s="16" t="s">
        <v>1023</v>
      </c>
      <c r="G518" s="16" t="s">
        <v>1028</v>
      </c>
      <c r="H518" s="21" t="s">
        <v>580</v>
      </c>
      <c r="I518" s="18" t="str">
        <f>RIGHT(H518,4)</f>
        <v xml:space="preserve"> 29F</v>
      </c>
      <c r="J518" s="22" t="s">
        <v>241</v>
      </c>
      <c r="K518" s="23">
        <v>0</v>
      </c>
    </row>
    <row r="519" spans="2:11" s="13" customFormat="1" ht="15.75" customHeight="1" x14ac:dyDescent="0.25">
      <c r="B519" s="16" t="s">
        <v>1002</v>
      </c>
      <c r="C519" s="16" t="s">
        <v>1006</v>
      </c>
      <c r="D519" s="16" t="s">
        <v>1050</v>
      </c>
      <c r="E519" s="16" t="s">
        <v>1021</v>
      </c>
      <c r="F519" s="16" t="s">
        <v>1023</v>
      </c>
      <c r="G519" s="16" t="s">
        <v>1028</v>
      </c>
      <c r="H519" s="21" t="s">
        <v>581</v>
      </c>
      <c r="I519" s="18" t="str">
        <f>RIGHT(H519,4)</f>
        <v xml:space="preserve"> 89F</v>
      </c>
      <c r="J519" s="19" t="s">
        <v>241</v>
      </c>
      <c r="K519" s="23">
        <v>0</v>
      </c>
    </row>
    <row r="520" spans="2:11" s="13" customFormat="1" ht="15.75" customHeight="1" x14ac:dyDescent="0.25">
      <c r="B520" s="24"/>
      <c r="C520" s="24"/>
      <c r="D520" s="24"/>
      <c r="E520" s="24"/>
      <c r="F520" s="24"/>
      <c r="G520" s="24"/>
      <c r="H520" s="17" t="s">
        <v>582</v>
      </c>
      <c r="I520" s="18"/>
      <c r="J520" s="19" t="s">
        <v>583</v>
      </c>
      <c r="K520" s="20">
        <v>1695046049</v>
      </c>
    </row>
    <row r="521" spans="2:11" ht="15" customHeight="1" x14ac:dyDescent="0.2">
      <c r="B521" s="16"/>
      <c r="C521" s="16"/>
      <c r="D521" s="16"/>
      <c r="E521" s="16"/>
      <c r="F521" s="16"/>
      <c r="G521" s="16"/>
      <c r="H521" s="21" t="s">
        <v>584</v>
      </c>
      <c r="I521" s="18"/>
      <c r="J521" s="22" t="s">
        <v>585</v>
      </c>
      <c r="K521" s="23">
        <v>1695046049</v>
      </c>
    </row>
    <row r="522" spans="2:11" ht="15" customHeight="1" x14ac:dyDescent="0.2">
      <c r="B522" s="16"/>
      <c r="C522" s="16"/>
      <c r="D522" s="16"/>
      <c r="E522" s="16"/>
      <c r="F522" s="16"/>
      <c r="G522" s="16"/>
      <c r="H522" s="21" t="s">
        <v>586</v>
      </c>
      <c r="I522" s="18"/>
      <c r="J522" s="22" t="s">
        <v>587</v>
      </c>
      <c r="K522" s="23">
        <v>300533900</v>
      </c>
    </row>
    <row r="523" spans="2:11" ht="15" customHeight="1" x14ac:dyDescent="0.2">
      <c r="B523" s="16" t="s">
        <v>1002</v>
      </c>
      <c r="C523" s="16" t="s">
        <v>1006</v>
      </c>
      <c r="D523" s="16" t="s">
        <v>1050</v>
      </c>
      <c r="E523" s="16" t="s">
        <v>1021</v>
      </c>
      <c r="F523" s="16" t="s">
        <v>1023</v>
      </c>
      <c r="G523" s="16" t="s">
        <v>1035</v>
      </c>
      <c r="H523" s="21" t="s">
        <v>588</v>
      </c>
      <c r="I523" s="18" t="str">
        <f>RIGHT(H523,4)</f>
        <v xml:space="preserve"> 76A</v>
      </c>
      <c r="J523" s="22" t="s">
        <v>587</v>
      </c>
      <c r="K523" s="23">
        <v>300533900</v>
      </c>
    </row>
    <row r="524" spans="2:11" ht="15" customHeight="1" x14ac:dyDescent="0.2">
      <c r="B524" s="16"/>
      <c r="C524" s="16"/>
      <c r="D524" s="16"/>
      <c r="E524" s="16"/>
      <c r="F524" s="16"/>
      <c r="G524" s="16"/>
      <c r="H524" s="21" t="s">
        <v>589</v>
      </c>
      <c r="I524" s="18"/>
      <c r="J524" s="22" t="s">
        <v>590</v>
      </c>
      <c r="K524" s="23">
        <v>681397330</v>
      </c>
    </row>
    <row r="525" spans="2:11" ht="15" customHeight="1" x14ac:dyDescent="0.2">
      <c r="B525" s="16" t="s">
        <v>1002</v>
      </c>
      <c r="C525" s="16" t="s">
        <v>1006</v>
      </c>
      <c r="D525" s="16" t="s">
        <v>1050</v>
      </c>
      <c r="E525" s="16" t="s">
        <v>1021</v>
      </c>
      <c r="F525" s="16" t="s">
        <v>1023</v>
      </c>
      <c r="G525" s="16" t="s">
        <v>1035</v>
      </c>
      <c r="H525" s="21" t="s">
        <v>591</v>
      </c>
      <c r="I525" s="18" t="str">
        <f>RIGHT(H525,4)</f>
        <v xml:space="preserve"> 75A</v>
      </c>
      <c r="J525" s="22" t="s">
        <v>590</v>
      </c>
      <c r="K525" s="23">
        <v>681397330</v>
      </c>
    </row>
    <row r="526" spans="2:11" ht="15" customHeight="1" x14ac:dyDescent="0.2">
      <c r="B526" s="16"/>
      <c r="C526" s="16"/>
      <c r="D526" s="16"/>
      <c r="E526" s="16"/>
      <c r="F526" s="16"/>
      <c r="G526" s="16"/>
      <c r="H526" s="21" t="s">
        <v>592</v>
      </c>
      <c r="I526" s="18"/>
      <c r="J526" s="22" t="s">
        <v>593</v>
      </c>
      <c r="K526" s="23">
        <v>713114819</v>
      </c>
    </row>
    <row r="527" spans="2:11" ht="15.75" customHeight="1" x14ac:dyDescent="0.2">
      <c r="B527" s="16" t="s">
        <v>1002</v>
      </c>
      <c r="C527" s="16" t="s">
        <v>1006</v>
      </c>
      <c r="D527" s="16" t="s">
        <v>1050</v>
      </c>
      <c r="E527" s="16" t="s">
        <v>1021</v>
      </c>
      <c r="F527" s="16" t="s">
        <v>1023</v>
      </c>
      <c r="G527" s="16" t="s">
        <v>1035</v>
      </c>
      <c r="H527" s="21" t="s">
        <v>594</v>
      </c>
      <c r="I527" s="18" t="str">
        <f>RIGHT(H527,4)</f>
        <v xml:space="preserve"> 75A</v>
      </c>
      <c r="J527" s="22" t="s">
        <v>593</v>
      </c>
      <c r="K527" s="23">
        <v>713114819</v>
      </c>
    </row>
    <row r="528" spans="2:11" s="13" customFormat="1" ht="15.75" customHeight="1" x14ac:dyDescent="0.25">
      <c r="B528" s="24"/>
      <c r="C528" s="24"/>
      <c r="D528" s="24"/>
      <c r="E528" s="24"/>
      <c r="F528" s="24"/>
      <c r="G528" s="24"/>
      <c r="H528" s="17" t="s">
        <v>595</v>
      </c>
      <c r="I528" s="18"/>
      <c r="J528" s="19" t="s">
        <v>273</v>
      </c>
      <c r="K528" s="20">
        <v>0</v>
      </c>
    </row>
    <row r="529" spans="2:11" ht="15" customHeight="1" x14ac:dyDescent="0.2">
      <c r="B529" s="16"/>
      <c r="C529" s="16"/>
      <c r="D529" s="16"/>
      <c r="E529" s="16"/>
      <c r="F529" s="16"/>
      <c r="G529" s="16"/>
      <c r="H529" s="21" t="s">
        <v>596</v>
      </c>
      <c r="I529" s="18"/>
      <c r="J529" s="22" t="s">
        <v>275</v>
      </c>
      <c r="K529" s="23">
        <v>0</v>
      </c>
    </row>
    <row r="530" spans="2:11" ht="15" customHeight="1" x14ac:dyDescent="0.2">
      <c r="B530" s="16" t="s">
        <v>1002</v>
      </c>
      <c r="C530" s="16" t="s">
        <v>1006</v>
      </c>
      <c r="D530" s="16" t="s">
        <v>1050</v>
      </c>
      <c r="E530" s="16" t="s">
        <v>1021</v>
      </c>
      <c r="F530" s="16" t="s">
        <v>1023</v>
      </c>
      <c r="G530" s="16" t="s">
        <v>1031</v>
      </c>
      <c r="H530" s="21" t="s">
        <v>751</v>
      </c>
      <c r="I530" s="18" t="str">
        <f t="shared" ref="I530:I537" si="13">RIGHT(H530,4)</f>
        <v>103A</v>
      </c>
      <c r="J530" s="22" t="s">
        <v>275</v>
      </c>
      <c r="K530" s="23"/>
    </row>
    <row r="531" spans="2:11" ht="15" customHeight="1" x14ac:dyDescent="0.2">
      <c r="B531" s="16" t="s">
        <v>1002</v>
      </c>
      <c r="C531" s="16" t="s">
        <v>1006</v>
      </c>
      <c r="D531" s="16" t="s">
        <v>1050</v>
      </c>
      <c r="E531" s="16" t="s">
        <v>1021</v>
      </c>
      <c r="F531" s="16" t="s">
        <v>1023</v>
      </c>
      <c r="G531" s="16" t="s">
        <v>1031</v>
      </c>
      <c r="H531" s="21" t="s">
        <v>752</v>
      </c>
      <c r="I531" s="18" t="str">
        <f t="shared" si="13"/>
        <v>150A</v>
      </c>
      <c r="J531" s="22" t="s">
        <v>275</v>
      </c>
      <c r="K531" s="23"/>
    </row>
    <row r="532" spans="2:11" ht="15" customHeight="1" x14ac:dyDescent="0.2">
      <c r="B532" s="16" t="s">
        <v>1002</v>
      </c>
      <c r="C532" s="16" t="s">
        <v>1006</v>
      </c>
      <c r="D532" s="16" t="s">
        <v>1050</v>
      </c>
      <c r="E532" s="16" t="s">
        <v>1021</v>
      </c>
      <c r="F532" s="16" t="s">
        <v>1023</v>
      </c>
      <c r="G532" s="16" t="s">
        <v>1031</v>
      </c>
      <c r="H532" s="21" t="s">
        <v>753</v>
      </c>
      <c r="I532" s="18" t="str">
        <f t="shared" si="13"/>
        <v xml:space="preserve"> 29A</v>
      </c>
      <c r="J532" s="22" t="s">
        <v>275</v>
      </c>
      <c r="K532" s="23"/>
    </row>
    <row r="533" spans="2:11" ht="15" customHeight="1" x14ac:dyDescent="0.2">
      <c r="B533" s="16" t="s">
        <v>1002</v>
      </c>
      <c r="C533" s="16" t="s">
        <v>1006</v>
      </c>
      <c r="D533" s="16" t="s">
        <v>1050</v>
      </c>
      <c r="E533" s="16" t="s">
        <v>1021</v>
      </c>
      <c r="F533" s="16" t="s">
        <v>1023</v>
      </c>
      <c r="G533" s="16" t="s">
        <v>1031</v>
      </c>
      <c r="H533" s="21" t="s">
        <v>754</v>
      </c>
      <c r="I533" s="18" t="str">
        <f t="shared" si="13"/>
        <v xml:space="preserve"> 56A</v>
      </c>
      <c r="J533" s="22" t="s">
        <v>275</v>
      </c>
      <c r="K533" s="23"/>
    </row>
    <row r="534" spans="2:11" ht="15" customHeight="1" x14ac:dyDescent="0.2">
      <c r="B534" s="16" t="s">
        <v>1002</v>
      </c>
      <c r="C534" s="16" t="s">
        <v>1006</v>
      </c>
      <c r="D534" s="16" t="s">
        <v>1050</v>
      </c>
      <c r="E534" s="16" t="s">
        <v>1021</v>
      </c>
      <c r="F534" s="16" t="s">
        <v>1023</v>
      </c>
      <c r="G534" s="16" t="s">
        <v>1031</v>
      </c>
      <c r="H534" s="21" t="s">
        <v>755</v>
      </c>
      <c r="I534" s="18" t="str">
        <f t="shared" si="13"/>
        <v xml:space="preserve"> 70A</v>
      </c>
      <c r="J534" s="22" t="s">
        <v>275</v>
      </c>
      <c r="K534" s="23"/>
    </row>
    <row r="535" spans="2:11" ht="15" customHeight="1" x14ac:dyDescent="0.2">
      <c r="B535" s="16" t="s">
        <v>1002</v>
      </c>
      <c r="C535" s="16" t="s">
        <v>1006</v>
      </c>
      <c r="D535" s="16" t="s">
        <v>1050</v>
      </c>
      <c r="E535" s="16" t="s">
        <v>1021</v>
      </c>
      <c r="F535" s="16" t="s">
        <v>1023</v>
      </c>
      <c r="G535" s="16" t="s">
        <v>1031</v>
      </c>
      <c r="H535" s="21" t="s">
        <v>756</v>
      </c>
      <c r="I535" s="18" t="str">
        <f t="shared" si="13"/>
        <v xml:space="preserve"> 71A</v>
      </c>
      <c r="J535" s="22" t="s">
        <v>275</v>
      </c>
      <c r="K535" s="23"/>
    </row>
    <row r="536" spans="2:11" ht="15" customHeight="1" x14ac:dyDescent="0.2">
      <c r="B536" s="16" t="s">
        <v>1002</v>
      </c>
      <c r="C536" s="16" t="s">
        <v>1006</v>
      </c>
      <c r="D536" s="16" t="s">
        <v>1050</v>
      </c>
      <c r="E536" s="16" t="s">
        <v>1021</v>
      </c>
      <c r="F536" s="16" t="s">
        <v>1023</v>
      </c>
      <c r="G536" s="16" t="s">
        <v>1031</v>
      </c>
      <c r="H536" s="21" t="s">
        <v>757</v>
      </c>
      <c r="I536" s="18" t="str">
        <f t="shared" si="13"/>
        <v xml:space="preserve"> 72A</v>
      </c>
      <c r="J536" s="22" t="s">
        <v>275</v>
      </c>
      <c r="K536" s="23"/>
    </row>
    <row r="537" spans="2:11" ht="15.75" customHeight="1" x14ac:dyDescent="0.2">
      <c r="B537" s="16" t="s">
        <v>1002</v>
      </c>
      <c r="C537" s="16" t="s">
        <v>1006</v>
      </c>
      <c r="D537" s="16" t="s">
        <v>1050</v>
      </c>
      <c r="E537" s="16" t="s">
        <v>1021</v>
      </c>
      <c r="F537" s="16" t="s">
        <v>1023</v>
      </c>
      <c r="G537" s="16" t="s">
        <v>1031</v>
      </c>
      <c r="H537" s="45" t="s">
        <v>758</v>
      </c>
      <c r="I537" s="18" t="str">
        <f t="shared" si="13"/>
        <v xml:space="preserve"> 75A</v>
      </c>
      <c r="J537" s="22" t="s">
        <v>275</v>
      </c>
      <c r="K537" s="23"/>
    </row>
    <row r="538" spans="2:11" ht="16.5" customHeight="1" x14ac:dyDescent="0.25">
      <c r="B538" s="16"/>
      <c r="C538" s="16"/>
      <c r="D538" s="16"/>
      <c r="E538" s="16"/>
      <c r="F538" s="16"/>
      <c r="G538" s="16"/>
      <c r="H538" s="25" t="s">
        <v>796</v>
      </c>
      <c r="I538" s="25"/>
      <c r="J538" s="25"/>
      <c r="K538" s="26">
        <v>136834714317</v>
      </c>
    </row>
    <row r="539" spans="2:11" ht="12.75" customHeight="1" x14ac:dyDescent="0.2">
      <c r="B539" s="16"/>
      <c r="C539" s="16"/>
      <c r="D539" s="16"/>
      <c r="E539" s="16"/>
      <c r="F539" s="16"/>
      <c r="G539" s="16"/>
      <c r="H539" s="45"/>
      <c r="I539" s="46"/>
      <c r="J539" s="16"/>
      <c r="K539" s="27"/>
    </row>
    <row r="540" spans="2:11" ht="15.75" customHeight="1" x14ac:dyDescent="0.2">
      <c r="B540" s="16"/>
      <c r="C540" s="16"/>
      <c r="D540" s="16"/>
      <c r="E540" s="16"/>
      <c r="F540" s="16"/>
      <c r="G540" s="16"/>
      <c r="H540" s="28" t="s">
        <v>797</v>
      </c>
      <c r="I540" s="29"/>
      <c r="J540" s="30"/>
      <c r="K540" s="34"/>
    </row>
    <row r="541" spans="2:11" s="13" customFormat="1" ht="16.5" customHeight="1" x14ac:dyDescent="0.25">
      <c r="B541" s="24"/>
      <c r="C541" s="24"/>
      <c r="D541" s="24"/>
      <c r="E541" s="24"/>
      <c r="F541" s="24"/>
      <c r="G541" s="24"/>
      <c r="H541" s="31" t="s">
        <v>778</v>
      </c>
      <c r="I541" s="29"/>
      <c r="J541" s="32" t="s">
        <v>779</v>
      </c>
      <c r="K541" s="33" t="s">
        <v>964</v>
      </c>
    </row>
    <row r="542" spans="2:11" s="13" customFormat="1" ht="15.75" customHeight="1" x14ac:dyDescent="0.25">
      <c r="B542" s="24"/>
      <c r="C542" s="24"/>
      <c r="D542" s="24"/>
      <c r="E542" s="24"/>
      <c r="F542" s="24"/>
      <c r="G542" s="24"/>
      <c r="H542" s="17" t="s">
        <v>597</v>
      </c>
      <c r="I542" s="18"/>
      <c r="J542" s="19" t="s">
        <v>1</v>
      </c>
      <c r="K542" s="20">
        <v>21609919205</v>
      </c>
    </row>
    <row r="543" spans="2:11" s="13" customFormat="1" ht="15.75" customHeight="1" x14ac:dyDescent="0.25">
      <c r="B543" s="24"/>
      <c r="C543" s="24"/>
      <c r="D543" s="24"/>
      <c r="E543" s="24"/>
      <c r="F543" s="24"/>
      <c r="G543" s="24"/>
      <c r="H543" s="17" t="s">
        <v>598</v>
      </c>
      <c r="I543" s="18"/>
      <c r="J543" s="19" t="s">
        <v>3</v>
      </c>
      <c r="K543" s="20">
        <v>20109919205</v>
      </c>
    </row>
    <row r="544" spans="2:11" s="13" customFormat="1" ht="15.75" customHeight="1" x14ac:dyDescent="0.25">
      <c r="B544" s="24"/>
      <c r="C544" s="24"/>
      <c r="D544" s="24"/>
      <c r="E544" s="24"/>
      <c r="F544" s="24"/>
      <c r="G544" s="24"/>
      <c r="H544" s="17" t="s">
        <v>599</v>
      </c>
      <c r="I544" s="18"/>
      <c r="J544" s="19" t="s">
        <v>86</v>
      </c>
      <c r="K544" s="20">
        <v>20109919205</v>
      </c>
    </row>
    <row r="545" spans="2:11" ht="15.75" customHeight="1" x14ac:dyDescent="0.25">
      <c r="B545" s="16"/>
      <c r="C545" s="16"/>
      <c r="D545" s="16"/>
      <c r="E545" s="16"/>
      <c r="F545" s="16"/>
      <c r="G545" s="16"/>
      <c r="H545" s="17" t="s">
        <v>600</v>
      </c>
      <c r="I545" s="18"/>
      <c r="J545" s="19" t="s">
        <v>88</v>
      </c>
      <c r="K545" s="20">
        <v>20109919205</v>
      </c>
    </row>
    <row r="546" spans="2:11" ht="15" customHeight="1" x14ac:dyDescent="0.2">
      <c r="B546" s="16"/>
      <c r="C546" s="16"/>
      <c r="D546" s="16"/>
      <c r="E546" s="16"/>
      <c r="F546" s="16"/>
      <c r="G546" s="16"/>
      <c r="H546" s="21" t="s">
        <v>601</v>
      </c>
      <c r="I546" s="18"/>
      <c r="J546" s="22" t="s">
        <v>602</v>
      </c>
      <c r="K546" s="23">
        <v>20109919205</v>
      </c>
    </row>
    <row r="547" spans="2:11" ht="15" customHeight="1" x14ac:dyDescent="0.2">
      <c r="B547" s="16"/>
      <c r="C547" s="16"/>
      <c r="D547" s="16"/>
      <c r="E547" s="16"/>
      <c r="F547" s="16"/>
      <c r="G547" s="16"/>
      <c r="H547" s="21" t="s">
        <v>603</v>
      </c>
      <c r="I547" s="18"/>
      <c r="J547" s="22" t="s">
        <v>604</v>
      </c>
      <c r="K547" s="23">
        <v>20109919205</v>
      </c>
    </row>
    <row r="548" spans="2:11" s="13" customFormat="1" ht="30" customHeight="1" x14ac:dyDescent="0.25">
      <c r="B548" s="16" t="s">
        <v>1002</v>
      </c>
      <c r="C548" s="16" t="s">
        <v>1007</v>
      </c>
      <c r="D548" s="46" t="s">
        <v>1051</v>
      </c>
      <c r="E548" s="16" t="s">
        <v>1015</v>
      </c>
      <c r="F548" s="16" t="s">
        <v>1022</v>
      </c>
      <c r="G548" s="16" t="s">
        <v>1025</v>
      </c>
      <c r="H548" s="21" t="s">
        <v>605</v>
      </c>
      <c r="I548" s="18" t="str">
        <f>RIGHT(H548,4)</f>
        <v>- 42</v>
      </c>
      <c r="J548" s="22" t="s">
        <v>606</v>
      </c>
      <c r="K548" s="23">
        <v>20109919205</v>
      </c>
    </row>
    <row r="549" spans="2:11" s="13" customFormat="1" ht="15.75" customHeight="1" x14ac:dyDescent="0.25">
      <c r="B549" s="24"/>
      <c r="C549" s="24"/>
      <c r="D549" s="24"/>
      <c r="E549" s="24"/>
      <c r="F549" s="24"/>
      <c r="G549" s="24"/>
      <c r="H549" s="17" t="s">
        <v>607</v>
      </c>
      <c r="I549" s="18"/>
      <c r="J549" s="19" t="s">
        <v>225</v>
      </c>
      <c r="K549" s="20">
        <v>1500000000</v>
      </c>
    </row>
    <row r="550" spans="2:11" s="13" customFormat="1" ht="15.75" customHeight="1" x14ac:dyDescent="0.25">
      <c r="B550" s="24"/>
      <c r="C550" s="24"/>
      <c r="D550" s="24"/>
      <c r="E550" s="24"/>
      <c r="F550" s="24"/>
      <c r="G550" s="24"/>
      <c r="H550" s="17" t="s">
        <v>608</v>
      </c>
      <c r="I550" s="18"/>
      <c r="J550" s="19" t="s">
        <v>239</v>
      </c>
      <c r="K550" s="20">
        <v>1500000000</v>
      </c>
    </row>
    <row r="551" spans="2:11" ht="15.75" customHeight="1" x14ac:dyDescent="0.25">
      <c r="B551" s="16"/>
      <c r="C551" s="16"/>
      <c r="D551" s="16"/>
      <c r="E551" s="16"/>
      <c r="F551" s="16"/>
      <c r="G551" s="16"/>
      <c r="H551" s="17" t="s">
        <v>609</v>
      </c>
      <c r="I551" s="18"/>
      <c r="J551" s="19" t="s">
        <v>241</v>
      </c>
      <c r="K551" s="20">
        <v>1500000000</v>
      </c>
    </row>
    <row r="552" spans="2:11" s="13" customFormat="1" ht="15.75" customHeight="1" x14ac:dyDescent="0.25">
      <c r="B552" s="16" t="s">
        <v>1002</v>
      </c>
      <c r="C552" s="16" t="s">
        <v>1007</v>
      </c>
      <c r="D552" s="46" t="s">
        <v>1051</v>
      </c>
      <c r="E552" s="16" t="s">
        <v>1015</v>
      </c>
      <c r="F552" s="16" t="s">
        <v>1023</v>
      </c>
      <c r="G552" s="16" t="s">
        <v>1028</v>
      </c>
      <c r="H552" s="21" t="s">
        <v>610</v>
      </c>
      <c r="I552" s="18" t="str">
        <f>RIGHT(H552,4)</f>
        <v xml:space="preserve"> 42F</v>
      </c>
      <c r="J552" s="22" t="s">
        <v>241</v>
      </c>
      <c r="K552" s="23">
        <v>1500000000</v>
      </c>
    </row>
    <row r="553" spans="2:11" s="13" customFormat="1" ht="15.75" customHeight="1" x14ac:dyDescent="0.25">
      <c r="B553" s="24"/>
      <c r="C553" s="24"/>
      <c r="D553" s="24"/>
      <c r="E553" s="24"/>
      <c r="F553" s="24"/>
      <c r="G553" s="24"/>
      <c r="H553" s="17" t="s">
        <v>611</v>
      </c>
      <c r="I553" s="18"/>
      <c r="J553" s="19" t="s">
        <v>267</v>
      </c>
      <c r="K553" s="20">
        <v>0</v>
      </c>
    </row>
    <row r="554" spans="2:11" ht="15.75" customHeight="1" x14ac:dyDescent="0.25">
      <c r="B554" s="16"/>
      <c r="C554" s="16"/>
      <c r="D554" s="16"/>
      <c r="E554" s="16"/>
      <c r="F554" s="16"/>
      <c r="G554" s="16"/>
      <c r="H554" s="17" t="s">
        <v>612</v>
      </c>
      <c r="I554" s="18"/>
      <c r="J554" s="19" t="s">
        <v>271</v>
      </c>
      <c r="K554" s="20">
        <v>0</v>
      </c>
    </row>
    <row r="555" spans="2:11" ht="15" customHeight="1" x14ac:dyDescent="0.2">
      <c r="B555" s="16" t="s">
        <v>1002</v>
      </c>
      <c r="C555" s="16" t="s">
        <v>1007</v>
      </c>
      <c r="D555" s="46" t="s">
        <v>1051</v>
      </c>
      <c r="E555" s="16" t="s">
        <v>1015</v>
      </c>
      <c r="F555" s="16" t="s">
        <v>1023</v>
      </c>
      <c r="G555" s="16" t="s">
        <v>1030</v>
      </c>
      <c r="H555" s="21" t="s">
        <v>613</v>
      </c>
      <c r="I555" s="18" t="str">
        <f>RIGHT(H555,4)</f>
        <v>42RB</v>
      </c>
      <c r="J555" s="22" t="s">
        <v>271</v>
      </c>
      <c r="K555" s="23">
        <v>0</v>
      </c>
    </row>
    <row r="556" spans="2:11" ht="16.5" customHeight="1" x14ac:dyDescent="0.25">
      <c r="B556" s="16"/>
      <c r="C556" s="16"/>
      <c r="D556" s="16"/>
      <c r="E556" s="16"/>
      <c r="F556" s="16"/>
      <c r="G556" s="16"/>
      <c r="H556" s="25" t="s">
        <v>798</v>
      </c>
      <c r="I556" s="25"/>
      <c r="J556" s="25"/>
      <c r="K556" s="26">
        <v>21609919205</v>
      </c>
    </row>
    <row r="557" spans="2:11" ht="15" customHeight="1" x14ac:dyDescent="0.2">
      <c r="B557" s="16"/>
      <c r="C557" s="16"/>
      <c r="D557" s="16"/>
      <c r="E557" s="16"/>
      <c r="F557" s="16"/>
      <c r="G557" s="16"/>
      <c r="H557" s="45"/>
      <c r="I557" s="46"/>
      <c r="J557" s="22"/>
      <c r="K557" s="23"/>
    </row>
    <row r="558" spans="2:11" ht="15.75" customHeight="1" x14ac:dyDescent="0.2">
      <c r="B558" s="16"/>
      <c r="C558" s="16"/>
      <c r="D558" s="16"/>
      <c r="E558" s="16"/>
      <c r="F558" s="16"/>
      <c r="G558" s="16"/>
      <c r="H558" s="28" t="s">
        <v>799</v>
      </c>
      <c r="I558" s="29"/>
      <c r="J558" s="30"/>
      <c r="K558" s="34"/>
    </row>
    <row r="559" spans="2:11" ht="16.5" customHeight="1" x14ac:dyDescent="0.2">
      <c r="B559" s="16"/>
      <c r="C559" s="16"/>
      <c r="D559" s="16"/>
      <c r="E559" s="16"/>
      <c r="F559" s="16"/>
      <c r="G559" s="16"/>
      <c r="H559" s="31" t="s">
        <v>779</v>
      </c>
      <c r="I559" s="29"/>
      <c r="J559" s="47" t="s">
        <v>800</v>
      </c>
      <c r="K559" s="33" t="s">
        <v>964</v>
      </c>
    </row>
    <row r="560" spans="2:11" s="13" customFormat="1" ht="15.75" customHeight="1" x14ac:dyDescent="0.25">
      <c r="B560" s="24"/>
      <c r="C560" s="24"/>
      <c r="D560" s="24"/>
      <c r="E560" s="24"/>
      <c r="F560" s="24"/>
      <c r="G560" s="24"/>
      <c r="H560" s="17" t="s">
        <v>614</v>
      </c>
      <c r="I560" s="18"/>
      <c r="J560" s="19" t="s">
        <v>1</v>
      </c>
      <c r="K560" s="20">
        <v>1461361887</v>
      </c>
    </row>
    <row r="561" spans="2:11" s="13" customFormat="1" ht="15.75" customHeight="1" x14ac:dyDescent="0.25">
      <c r="B561" s="24"/>
      <c r="C561" s="24"/>
      <c r="D561" s="24"/>
      <c r="E561" s="24"/>
      <c r="F561" s="24"/>
      <c r="G561" s="24"/>
      <c r="H561" s="17" t="s">
        <v>615</v>
      </c>
      <c r="I561" s="18"/>
      <c r="J561" s="19" t="s">
        <v>3</v>
      </c>
      <c r="K561" s="20">
        <v>0</v>
      </c>
    </row>
    <row r="562" spans="2:11" s="13" customFormat="1" ht="15.75" customHeight="1" x14ac:dyDescent="0.25">
      <c r="B562" s="24"/>
      <c r="C562" s="24"/>
      <c r="D562" s="24"/>
      <c r="E562" s="24"/>
      <c r="F562" s="24"/>
      <c r="G562" s="24"/>
      <c r="H562" s="17" t="s">
        <v>616</v>
      </c>
      <c r="I562" s="18"/>
      <c r="J562" s="19" t="s">
        <v>86</v>
      </c>
      <c r="K562" s="23">
        <v>0</v>
      </c>
    </row>
    <row r="563" spans="2:11" ht="15.75" customHeight="1" x14ac:dyDescent="0.2">
      <c r="B563" s="16"/>
      <c r="C563" s="16"/>
      <c r="D563" s="16"/>
      <c r="E563" s="16"/>
      <c r="F563" s="16"/>
      <c r="G563" s="16"/>
      <c r="H563" s="17" t="s">
        <v>617</v>
      </c>
      <c r="I563" s="18"/>
      <c r="J563" s="19" t="s">
        <v>112</v>
      </c>
      <c r="K563" s="23">
        <v>0</v>
      </c>
    </row>
    <row r="564" spans="2:11" ht="15" customHeight="1" x14ac:dyDescent="0.2">
      <c r="B564" s="16"/>
      <c r="C564" s="16"/>
      <c r="D564" s="16"/>
      <c r="E564" s="16"/>
      <c r="F564" s="16"/>
      <c r="G564" s="16"/>
      <c r="H564" s="21" t="s">
        <v>618</v>
      </c>
      <c r="I564" s="18"/>
      <c r="J564" s="22" t="s">
        <v>114</v>
      </c>
      <c r="K564" s="23">
        <v>0</v>
      </c>
    </row>
    <row r="565" spans="2:11" ht="15" customHeight="1" x14ac:dyDescent="0.2">
      <c r="B565" s="16"/>
      <c r="C565" s="16"/>
      <c r="D565" s="16"/>
      <c r="E565" s="16"/>
      <c r="F565" s="16"/>
      <c r="G565" s="16"/>
      <c r="H565" s="21" t="s">
        <v>619</v>
      </c>
      <c r="I565" s="18"/>
      <c r="J565" s="22" t="s">
        <v>144</v>
      </c>
      <c r="K565" s="23">
        <v>0</v>
      </c>
    </row>
    <row r="566" spans="2:11" ht="15" customHeight="1" x14ac:dyDescent="0.2">
      <c r="B566" s="16"/>
      <c r="C566" s="16"/>
      <c r="D566" s="16"/>
      <c r="E566" s="16"/>
      <c r="F566" s="16"/>
      <c r="G566" s="16"/>
      <c r="H566" s="21" t="s">
        <v>620</v>
      </c>
      <c r="I566" s="18"/>
      <c r="J566" s="22" t="s">
        <v>621</v>
      </c>
      <c r="K566" s="23">
        <v>0</v>
      </c>
    </row>
    <row r="567" spans="2:11" ht="15" customHeight="1" x14ac:dyDescent="0.2">
      <c r="B567" s="16"/>
      <c r="C567" s="16"/>
      <c r="D567" s="16"/>
      <c r="E567" s="16"/>
      <c r="F567" s="16"/>
      <c r="G567" s="16"/>
      <c r="H567" s="21" t="s">
        <v>622</v>
      </c>
      <c r="I567" s="18"/>
      <c r="J567" s="22" t="s">
        <v>623</v>
      </c>
      <c r="K567" s="23">
        <v>0</v>
      </c>
    </row>
    <row r="568" spans="2:11" ht="15" customHeight="1" x14ac:dyDescent="0.2">
      <c r="B568" s="16"/>
      <c r="C568" s="16"/>
      <c r="D568" s="16"/>
      <c r="E568" s="16"/>
      <c r="F568" s="16"/>
      <c r="G568" s="16"/>
      <c r="H568" s="21" t="s">
        <v>624</v>
      </c>
      <c r="I568" s="18"/>
      <c r="J568" s="22" t="s">
        <v>625</v>
      </c>
      <c r="K568" s="23">
        <v>0</v>
      </c>
    </row>
    <row r="569" spans="2:11" s="13" customFormat="1" ht="15.75" customHeight="1" x14ac:dyDescent="0.25">
      <c r="B569" s="16" t="s">
        <v>1002</v>
      </c>
      <c r="C569" s="16" t="s">
        <v>1044</v>
      </c>
      <c r="D569" s="46" t="s">
        <v>1051</v>
      </c>
      <c r="E569" s="16" t="s">
        <v>1015</v>
      </c>
      <c r="F569" s="16" t="s">
        <v>1022</v>
      </c>
      <c r="G569" s="16" t="s">
        <v>1025</v>
      </c>
      <c r="H569" s="21" t="s">
        <v>626</v>
      </c>
      <c r="I569" s="18" t="str">
        <f>RIGHT(H569,4)</f>
        <v xml:space="preserve"> 151</v>
      </c>
      <c r="J569" s="22" t="s">
        <v>627</v>
      </c>
      <c r="K569" s="23">
        <v>0</v>
      </c>
    </row>
    <row r="570" spans="2:11" s="13" customFormat="1" ht="15.75" customHeight="1" x14ac:dyDescent="0.25">
      <c r="B570" s="24"/>
      <c r="C570" s="24"/>
      <c r="D570" s="24"/>
      <c r="E570" s="24"/>
      <c r="F570" s="24"/>
      <c r="G570" s="24"/>
      <c r="H570" s="17" t="s">
        <v>628</v>
      </c>
      <c r="I570" s="18"/>
      <c r="J570" s="19" t="s">
        <v>225</v>
      </c>
      <c r="K570" s="20">
        <v>1461361887</v>
      </c>
    </row>
    <row r="571" spans="2:11" s="13" customFormat="1" ht="15.75" customHeight="1" x14ac:dyDescent="0.25">
      <c r="B571" s="24"/>
      <c r="C571" s="24"/>
      <c r="D571" s="24"/>
      <c r="E571" s="24"/>
      <c r="F571" s="24"/>
      <c r="G571" s="24"/>
      <c r="H571" s="17" t="s">
        <v>629</v>
      </c>
      <c r="I571" s="18"/>
      <c r="J571" s="19" t="s">
        <v>239</v>
      </c>
      <c r="K571" s="20">
        <f>+K572</f>
        <v>116908951</v>
      </c>
    </row>
    <row r="572" spans="2:11" ht="15.75" customHeight="1" x14ac:dyDescent="0.25">
      <c r="B572" s="16"/>
      <c r="C572" s="16"/>
      <c r="D572" s="16"/>
      <c r="E572" s="16"/>
      <c r="F572" s="16"/>
      <c r="G572" s="16"/>
      <c r="H572" s="17" t="s">
        <v>630</v>
      </c>
      <c r="I572" s="18"/>
      <c r="J572" s="19" t="s">
        <v>241</v>
      </c>
      <c r="K572" s="20">
        <f>+K574</f>
        <v>116908951</v>
      </c>
    </row>
    <row r="573" spans="2:11" s="13" customFormat="1" ht="15.75" customHeight="1" x14ac:dyDescent="0.25">
      <c r="B573" s="16" t="s">
        <v>1002</v>
      </c>
      <c r="C573" s="16" t="s">
        <v>1044</v>
      </c>
      <c r="D573" s="46" t="s">
        <v>1051</v>
      </c>
      <c r="E573" s="16" t="s">
        <v>1015</v>
      </c>
      <c r="F573" s="16" t="s">
        <v>1023</v>
      </c>
      <c r="G573" s="16" t="s">
        <v>1028</v>
      </c>
      <c r="H573" s="21" t="s">
        <v>631</v>
      </c>
      <c r="I573" s="18" t="str">
        <f>RIGHT(H573,4)</f>
        <v>151F</v>
      </c>
      <c r="J573" s="22" t="s">
        <v>241</v>
      </c>
      <c r="K573" s="23">
        <v>0</v>
      </c>
    </row>
    <row r="574" spans="2:11" ht="15.75" customHeight="1" x14ac:dyDescent="0.25">
      <c r="B574" s="16"/>
      <c r="C574" s="16"/>
      <c r="D574" s="16"/>
      <c r="E574" s="16"/>
      <c r="F574" s="16"/>
      <c r="G574" s="16"/>
      <c r="H574" s="17" t="s">
        <v>632</v>
      </c>
      <c r="I574" s="18"/>
      <c r="J574" s="19" t="s">
        <v>633</v>
      </c>
      <c r="K574" s="20">
        <v>116908951</v>
      </c>
    </row>
    <row r="575" spans="2:11" s="13" customFormat="1" ht="15.75" customHeight="1" x14ac:dyDescent="0.25">
      <c r="B575" s="16" t="s">
        <v>1002</v>
      </c>
      <c r="C575" s="16" t="s">
        <v>1044</v>
      </c>
      <c r="D575" s="46" t="s">
        <v>1051</v>
      </c>
      <c r="E575" s="16" t="s">
        <v>1015</v>
      </c>
      <c r="F575" s="16" t="s">
        <v>1023</v>
      </c>
      <c r="G575" s="16" t="s">
        <v>1034</v>
      </c>
      <c r="H575" s="21" t="s">
        <v>634</v>
      </c>
      <c r="I575" s="18" t="str">
        <f>RIGHT(H575,4)</f>
        <v xml:space="preserve"> 151</v>
      </c>
      <c r="J575" s="22" t="s">
        <v>633</v>
      </c>
      <c r="K575" s="23">
        <v>116908951</v>
      </c>
    </row>
    <row r="576" spans="2:11" s="13" customFormat="1" ht="15.75" customHeight="1" x14ac:dyDescent="0.25">
      <c r="B576" s="24"/>
      <c r="C576" s="24"/>
      <c r="D576" s="24"/>
      <c r="E576" s="24"/>
      <c r="F576" s="24"/>
      <c r="G576" s="24"/>
      <c r="H576" s="17" t="s">
        <v>635</v>
      </c>
      <c r="I576" s="18"/>
      <c r="J576" s="19" t="s">
        <v>636</v>
      </c>
      <c r="K576" s="20">
        <v>1344452936</v>
      </c>
    </row>
    <row r="577" spans="2:11" ht="15.75" customHeight="1" x14ac:dyDescent="0.25">
      <c r="B577" s="16"/>
      <c r="C577" s="16"/>
      <c r="D577" s="16"/>
      <c r="E577" s="16"/>
      <c r="F577" s="16"/>
      <c r="G577" s="16"/>
      <c r="H577" s="17" t="s">
        <v>637</v>
      </c>
      <c r="I577" s="18"/>
      <c r="J577" s="19" t="s">
        <v>638</v>
      </c>
      <c r="K577" s="20">
        <v>1344452936</v>
      </c>
    </row>
    <row r="578" spans="2:11" s="13" customFormat="1" ht="15.75" customHeight="1" x14ac:dyDescent="0.25">
      <c r="B578" s="16" t="s">
        <v>1002</v>
      </c>
      <c r="C578" s="16" t="s">
        <v>1044</v>
      </c>
      <c r="D578" s="46" t="s">
        <v>1051</v>
      </c>
      <c r="E578" s="16" t="s">
        <v>1015</v>
      </c>
      <c r="F578" s="16" t="s">
        <v>1023</v>
      </c>
      <c r="G578" s="16" t="s">
        <v>1034</v>
      </c>
      <c r="H578" s="21" t="s">
        <v>639</v>
      </c>
      <c r="I578" s="18" t="str">
        <f>RIGHT(H578,4)</f>
        <v xml:space="preserve"> 151</v>
      </c>
      <c r="J578" s="22" t="s">
        <v>638</v>
      </c>
      <c r="K578" s="23">
        <v>1344452936</v>
      </c>
    </row>
    <row r="579" spans="2:11" s="13" customFormat="1" ht="15.75" customHeight="1" x14ac:dyDescent="0.25">
      <c r="B579" s="24"/>
      <c r="C579" s="24"/>
      <c r="D579" s="24"/>
      <c r="E579" s="24"/>
      <c r="F579" s="24"/>
      <c r="G579" s="24"/>
      <c r="H579" s="17" t="s">
        <v>640</v>
      </c>
      <c r="I579" s="18"/>
      <c r="J579" s="19" t="s">
        <v>267</v>
      </c>
      <c r="K579" s="20">
        <v>0</v>
      </c>
    </row>
    <row r="580" spans="2:11" ht="15.75" customHeight="1" x14ac:dyDescent="0.25">
      <c r="B580" s="16"/>
      <c r="C580" s="16"/>
      <c r="D580" s="16"/>
      <c r="E580" s="16"/>
      <c r="F580" s="16"/>
      <c r="G580" s="16"/>
      <c r="H580" s="17" t="s">
        <v>641</v>
      </c>
      <c r="I580" s="18"/>
      <c r="J580" s="19" t="s">
        <v>271</v>
      </c>
      <c r="K580" s="20">
        <v>0</v>
      </c>
    </row>
    <row r="581" spans="2:11" ht="15" customHeight="1" x14ac:dyDescent="0.2">
      <c r="B581" s="16" t="s">
        <v>1002</v>
      </c>
      <c r="C581" s="16" t="s">
        <v>1044</v>
      </c>
      <c r="D581" s="46" t="s">
        <v>1051</v>
      </c>
      <c r="E581" s="16" t="s">
        <v>1015</v>
      </c>
      <c r="F581" s="16" t="s">
        <v>1023</v>
      </c>
      <c r="G581" s="16" t="s">
        <v>1030</v>
      </c>
      <c r="H581" s="21" t="s">
        <v>642</v>
      </c>
      <c r="I581" s="18" t="str">
        <f>RIGHT(H581,4)</f>
        <v>151R</v>
      </c>
      <c r="J581" s="22" t="s">
        <v>271</v>
      </c>
      <c r="K581" s="23">
        <v>0</v>
      </c>
    </row>
    <row r="582" spans="2:11" ht="16.5" customHeight="1" x14ac:dyDescent="0.25">
      <c r="B582" s="16"/>
      <c r="C582" s="16"/>
      <c r="D582" s="16"/>
      <c r="E582" s="16"/>
      <c r="F582" s="16"/>
      <c r="G582" s="16"/>
      <c r="H582" s="25" t="s">
        <v>801</v>
      </c>
      <c r="I582" s="25"/>
      <c r="J582" s="25"/>
      <c r="K582" s="26">
        <v>1461361887</v>
      </c>
    </row>
    <row r="583" spans="2:11" ht="15.75" customHeight="1" x14ac:dyDescent="0.25">
      <c r="B583" s="16"/>
      <c r="C583" s="16"/>
      <c r="D583" s="16"/>
      <c r="E583" s="16"/>
      <c r="F583" s="16"/>
      <c r="G583" s="16"/>
      <c r="H583" s="45"/>
      <c r="I583" s="46"/>
      <c r="J583" s="25"/>
      <c r="K583" s="26"/>
    </row>
    <row r="584" spans="2:11" ht="15.75" customHeight="1" x14ac:dyDescent="0.2">
      <c r="B584" s="16"/>
      <c r="C584" s="16"/>
      <c r="D584" s="16"/>
      <c r="E584" s="16"/>
      <c r="F584" s="16"/>
      <c r="G584" s="16"/>
      <c r="H584" s="28" t="s">
        <v>802</v>
      </c>
      <c r="I584" s="29"/>
      <c r="J584" s="30"/>
      <c r="K584" s="34"/>
    </row>
    <row r="585" spans="2:11" ht="16.5" customHeight="1" x14ac:dyDescent="0.2">
      <c r="B585" s="16"/>
      <c r="C585" s="16"/>
      <c r="D585" s="16"/>
      <c r="E585" s="16"/>
      <c r="F585" s="16"/>
      <c r="G585" s="16"/>
      <c r="H585" s="31" t="s">
        <v>779</v>
      </c>
      <c r="I585" s="29"/>
      <c r="J585" s="47" t="s">
        <v>803</v>
      </c>
      <c r="K585" s="33"/>
    </row>
    <row r="586" spans="2:11" s="13" customFormat="1" ht="15.75" customHeight="1" x14ac:dyDescent="0.25">
      <c r="B586" s="24"/>
      <c r="C586" s="24"/>
      <c r="D586" s="24"/>
      <c r="E586" s="24"/>
      <c r="F586" s="24"/>
      <c r="G586" s="24"/>
      <c r="H586" s="17" t="s">
        <v>643</v>
      </c>
      <c r="I586" s="18"/>
      <c r="J586" s="19" t="s">
        <v>1</v>
      </c>
      <c r="K586" s="20">
        <v>75255807463</v>
      </c>
    </row>
    <row r="587" spans="2:11" s="13" customFormat="1" ht="15.75" customHeight="1" x14ac:dyDescent="0.25">
      <c r="B587" s="24"/>
      <c r="C587" s="24"/>
      <c r="D587" s="24"/>
      <c r="E587" s="24"/>
      <c r="F587" s="24"/>
      <c r="G587" s="24"/>
      <c r="H587" s="17" t="s">
        <v>644</v>
      </c>
      <c r="I587" s="18"/>
      <c r="J587" s="19" t="s">
        <v>3</v>
      </c>
      <c r="K587" s="20">
        <v>37755807463</v>
      </c>
    </row>
    <row r="588" spans="2:11" s="13" customFormat="1" ht="15.75" customHeight="1" x14ac:dyDescent="0.25">
      <c r="B588" s="24"/>
      <c r="C588" s="24"/>
      <c r="D588" s="24"/>
      <c r="E588" s="24"/>
      <c r="F588" s="24"/>
      <c r="G588" s="24"/>
      <c r="H588" s="17" t="s">
        <v>645</v>
      </c>
      <c r="I588" s="18"/>
      <c r="J588" s="19" t="s">
        <v>5</v>
      </c>
      <c r="K588" s="20">
        <v>36555807463</v>
      </c>
    </row>
    <row r="589" spans="2:11" ht="15.75" customHeight="1" x14ac:dyDescent="0.25">
      <c r="B589" s="16"/>
      <c r="C589" s="16"/>
      <c r="D589" s="16"/>
      <c r="E589" s="16"/>
      <c r="F589" s="16"/>
      <c r="G589" s="16"/>
      <c r="H589" s="17" t="s">
        <v>646</v>
      </c>
      <c r="I589" s="18"/>
      <c r="J589" s="19" t="s">
        <v>14</v>
      </c>
      <c r="K589" s="20">
        <v>36555807463</v>
      </c>
    </row>
    <row r="590" spans="2:11" ht="15.75" customHeight="1" x14ac:dyDescent="0.2">
      <c r="B590" s="16"/>
      <c r="C590" s="16"/>
      <c r="D590" s="16"/>
      <c r="E590" s="16"/>
      <c r="F590" s="16"/>
      <c r="G590" s="16"/>
      <c r="H590" s="21" t="s">
        <v>647</v>
      </c>
      <c r="I590" s="18"/>
      <c r="J590" s="22" t="s">
        <v>16</v>
      </c>
      <c r="K590" s="23">
        <v>3507192772</v>
      </c>
    </row>
    <row r="591" spans="2:11" ht="15.75" customHeight="1" x14ac:dyDescent="0.2">
      <c r="B591" s="16"/>
      <c r="C591" s="16"/>
      <c r="D591" s="16"/>
      <c r="E591" s="16"/>
      <c r="F591" s="16"/>
      <c r="G591" s="16"/>
      <c r="H591" s="21" t="s">
        <v>648</v>
      </c>
      <c r="I591" s="18"/>
      <c r="J591" s="22" t="s">
        <v>18</v>
      </c>
      <c r="K591" s="23">
        <v>175359638</v>
      </c>
    </row>
    <row r="592" spans="2:11" ht="15.75" customHeight="1" x14ac:dyDescent="0.2">
      <c r="B592" s="16" t="s">
        <v>1002</v>
      </c>
      <c r="C592" s="16" t="s">
        <v>1008</v>
      </c>
      <c r="D592" s="46" t="s">
        <v>1051</v>
      </c>
      <c r="E592" s="16" t="s">
        <v>1015</v>
      </c>
      <c r="F592" s="16" t="s">
        <v>1022</v>
      </c>
      <c r="G592" s="16" t="s">
        <v>1024</v>
      </c>
      <c r="H592" s="21" t="s">
        <v>649</v>
      </c>
      <c r="I592" s="18" t="str">
        <f t="shared" ref="I592:I603" si="14">RIGHT(H592,4)</f>
        <v>- 09</v>
      </c>
      <c r="J592" s="22" t="s">
        <v>18</v>
      </c>
      <c r="K592" s="23">
        <v>175359638</v>
      </c>
    </row>
    <row r="593" spans="2:11" ht="15.75" customHeight="1" x14ac:dyDescent="0.2">
      <c r="B593" s="16"/>
      <c r="C593" s="16"/>
      <c r="D593" s="16"/>
      <c r="E593" s="16"/>
      <c r="F593" s="16"/>
      <c r="G593" s="16"/>
      <c r="H593" s="21" t="s">
        <v>650</v>
      </c>
      <c r="I593" s="18"/>
      <c r="J593" s="22" t="s">
        <v>22</v>
      </c>
      <c r="K593" s="23">
        <v>3331833134</v>
      </c>
    </row>
    <row r="594" spans="2:11" ht="15.75" customHeight="1" x14ac:dyDescent="0.2">
      <c r="B594" s="16" t="s">
        <v>1002</v>
      </c>
      <c r="C594" s="16" t="s">
        <v>1008</v>
      </c>
      <c r="D594" s="46" t="s">
        <v>1051</v>
      </c>
      <c r="E594" s="16" t="s">
        <v>1015</v>
      </c>
      <c r="F594" s="16" t="s">
        <v>1022</v>
      </c>
      <c r="G594" s="16" t="s">
        <v>1024</v>
      </c>
      <c r="H594" s="21" t="s">
        <v>651</v>
      </c>
      <c r="I594" s="18" t="str">
        <f t="shared" si="14"/>
        <v>- 09</v>
      </c>
      <c r="J594" s="22" t="s">
        <v>22</v>
      </c>
      <c r="K594" s="23">
        <v>3331833134</v>
      </c>
    </row>
    <row r="595" spans="2:11" ht="15.75" customHeight="1" x14ac:dyDescent="0.2">
      <c r="B595" s="16"/>
      <c r="C595" s="16"/>
      <c r="D595" s="16"/>
      <c r="E595" s="16"/>
      <c r="F595" s="16"/>
      <c r="G595" s="16"/>
      <c r="H595" s="21" t="s">
        <v>652</v>
      </c>
      <c r="I595" s="18"/>
      <c r="J595" s="22" t="s">
        <v>72</v>
      </c>
      <c r="K595" s="23">
        <v>33048614691</v>
      </c>
    </row>
    <row r="596" spans="2:11" ht="15" customHeight="1" x14ac:dyDescent="0.2">
      <c r="B596" s="16" t="s">
        <v>1002</v>
      </c>
      <c r="C596" s="16" t="s">
        <v>1008</v>
      </c>
      <c r="D596" s="46" t="s">
        <v>1051</v>
      </c>
      <c r="E596" s="16" t="s">
        <v>1015</v>
      </c>
      <c r="F596" s="16" t="s">
        <v>1022</v>
      </c>
      <c r="G596" s="16" t="s">
        <v>1024</v>
      </c>
      <c r="H596" s="21" t="s">
        <v>654</v>
      </c>
      <c r="I596" s="18" t="str">
        <f t="shared" si="14"/>
        <v>- 04</v>
      </c>
      <c r="J596" s="22" t="s">
        <v>76</v>
      </c>
      <c r="K596" s="23">
        <v>4284386118</v>
      </c>
    </row>
    <row r="597" spans="2:11" ht="15.75" customHeight="1" x14ac:dyDescent="0.2">
      <c r="B597" s="16" t="s">
        <v>1002</v>
      </c>
      <c r="C597" s="16" t="s">
        <v>1008</v>
      </c>
      <c r="D597" s="46" t="s">
        <v>1051</v>
      </c>
      <c r="E597" s="16" t="s">
        <v>1016</v>
      </c>
      <c r="F597" s="16" t="s">
        <v>1022</v>
      </c>
      <c r="G597" s="16" t="s">
        <v>1024</v>
      </c>
      <c r="H597" s="21" t="s">
        <v>655</v>
      </c>
      <c r="I597" s="18" t="str">
        <f t="shared" si="14"/>
        <v>- 05</v>
      </c>
      <c r="J597" s="22" t="s">
        <v>78</v>
      </c>
      <c r="K597" s="23">
        <v>2165041561</v>
      </c>
    </row>
    <row r="598" spans="2:11" x14ac:dyDescent="0.2">
      <c r="B598" s="16" t="s">
        <v>1002</v>
      </c>
      <c r="C598" s="16" t="s">
        <v>1008</v>
      </c>
      <c r="D598" s="46" t="s">
        <v>1051</v>
      </c>
      <c r="E598" s="16" t="s">
        <v>1016</v>
      </c>
      <c r="F598" s="16" t="s">
        <v>1022</v>
      </c>
      <c r="G598" s="16" t="s">
        <v>1024</v>
      </c>
      <c r="H598" s="21" t="s">
        <v>657</v>
      </c>
      <c r="I598" s="48" t="str">
        <f t="shared" si="14"/>
        <v>- 06</v>
      </c>
      <c r="J598" s="22" t="s">
        <v>82</v>
      </c>
      <c r="K598" s="23">
        <v>7714700000</v>
      </c>
    </row>
    <row r="599" spans="2:11" x14ac:dyDescent="0.2">
      <c r="B599" s="16" t="s">
        <v>1002</v>
      </c>
      <c r="C599" s="16" t="s">
        <v>1008</v>
      </c>
      <c r="D599" s="46" t="s">
        <v>1051</v>
      </c>
      <c r="E599" s="16" t="s">
        <v>1016</v>
      </c>
      <c r="F599" s="16" t="s">
        <v>1022</v>
      </c>
      <c r="G599" s="16" t="s">
        <v>1024</v>
      </c>
      <c r="H599" s="21" t="s">
        <v>653</v>
      </c>
      <c r="I599" s="18" t="str">
        <f t="shared" si="14"/>
        <v>- 08</v>
      </c>
      <c r="J599" s="22" t="s">
        <v>74</v>
      </c>
      <c r="K599" s="23">
        <v>3427544116</v>
      </c>
    </row>
    <row r="600" spans="2:11" x14ac:dyDescent="0.2">
      <c r="B600" s="16" t="s">
        <v>1002</v>
      </c>
      <c r="C600" s="16" t="s">
        <v>1008</v>
      </c>
      <c r="D600" s="46" t="s">
        <v>1051</v>
      </c>
      <c r="E600" s="16" t="s">
        <v>1016</v>
      </c>
      <c r="F600" s="16" t="s">
        <v>1022</v>
      </c>
      <c r="G600" s="16" t="s">
        <v>1024</v>
      </c>
      <c r="H600" s="21" t="s">
        <v>658</v>
      </c>
      <c r="I600" s="18" t="str">
        <f t="shared" si="14"/>
        <v>- 12</v>
      </c>
      <c r="J600" s="22" t="s">
        <v>84</v>
      </c>
      <c r="K600" s="23">
        <v>3844832137</v>
      </c>
    </row>
    <row r="601" spans="2:11" x14ac:dyDescent="0.2">
      <c r="B601" s="16" t="s">
        <v>1002</v>
      </c>
      <c r="C601" s="16" t="s">
        <v>1008</v>
      </c>
      <c r="D601" s="46" t="s">
        <v>1051</v>
      </c>
      <c r="E601" s="16" t="s">
        <v>1016</v>
      </c>
      <c r="F601" s="16" t="s">
        <v>1022</v>
      </c>
      <c r="G601" s="16" t="s">
        <v>1024</v>
      </c>
      <c r="H601" s="21" t="s">
        <v>656</v>
      </c>
      <c r="I601" s="18" t="str">
        <f t="shared" si="14"/>
        <v>- 45</v>
      </c>
      <c r="J601" s="22" t="s">
        <v>80</v>
      </c>
      <c r="K601" s="23">
        <v>4430582867</v>
      </c>
    </row>
    <row r="602" spans="2:11" x14ac:dyDescent="0.2">
      <c r="B602" s="16" t="s">
        <v>1002</v>
      </c>
      <c r="C602" s="16" t="s">
        <v>1008</v>
      </c>
      <c r="D602" s="46" t="s">
        <v>1051</v>
      </c>
      <c r="E602" s="16" t="s">
        <v>1016</v>
      </c>
      <c r="F602" s="16" t="s">
        <v>1022</v>
      </c>
      <c r="G602" s="16" t="s">
        <v>1024</v>
      </c>
      <c r="H602" s="21" t="s">
        <v>992</v>
      </c>
      <c r="I602" s="18" t="str">
        <f t="shared" si="14"/>
        <v>- 47</v>
      </c>
      <c r="J602" s="22" t="s">
        <v>993</v>
      </c>
      <c r="K602" s="23">
        <v>2039343071</v>
      </c>
    </row>
    <row r="603" spans="2:11" s="13" customFormat="1" ht="28.5" x14ac:dyDescent="0.25">
      <c r="B603" s="16" t="s">
        <v>1002</v>
      </c>
      <c r="C603" s="16" t="s">
        <v>1008</v>
      </c>
      <c r="D603" s="46" t="s">
        <v>1051</v>
      </c>
      <c r="E603" s="16" t="s">
        <v>1016</v>
      </c>
      <c r="F603" s="16" t="s">
        <v>1022</v>
      </c>
      <c r="G603" s="16" t="s">
        <v>1024</v>
      </c>
      <c r="H603" s="21" t="s">
        <v>659</v>
      </c>
      <c r="I603" s="18" t="str">
        <f t="shared" si="14"/>
        <v>- 84</v>
      </c>
      <c r="J603" s="22" t="s">
        <v>790</v>
      </c>
      <c r="K603" s="23">
        <v>5142184821</v>
      </c>
    </row>
    <row r="604" spans="2:11" s="13" customFormat="1" ht="15" x14ac:dyDescent="0.25">
      <c r="B604" s="24"/>
      <c r="C604" s="24"/>
      <c r="D604" s="24"/>
      <c r="E604" s="24"/>
      <c r="F604" s="24"/>
      <c r="G604" s="24"/>
      <c r="H604" s="17" t="s">
        <v>660</v>
      </c>
      <c r="I604" s="18"/>
      <c r="J604" s="19" t="s">
        <v>86</v>
      </c>
      <c r="K604" s="20">
        <v>1200000000</v>
      </c>
    </row>
    <row r="605" spans="2:11" ht="15" x14ac:dyDescent="0.25">
      <c r="B605" s="16"/>
      <c r="C605" s="16"/>
      <c r="D605" s="16"/>
      <c r="E605" s="16"/>
      <c r="F605" s="16"/>
      <c r="G605" s="16"/>
      <c r="H605" s="17" t="s">
        <v>661</v>
      </c>
      <c r="I605" s="18"/>
      <c r="J605" s="19" t="s">
        <v>164</v>
      </c>
      <c r="K605" s="20">
        <v>1200000000</v>
      </c>
    </row>
    <row r="606" spans="2:11" x14ac:dyDescent="0.2">
      <c r="B606" s="16"/>
      <c r="C606" s="16"/>
      <c r="D606" s="16"/>
      <c r="E606" s="16"/>
      <c r="F606" s="16"/>
      <c r="G606" s="16"/>
      <c r="H606" s="21" t="s">
        <v>662</v>
      </c>
      <c r="I606" s="18"/>
      <c r="J606" s="22" t="s">
        <v>663</v>
      </c>
      <c r="K606" s="23">
        <v>1200000000</v>
      </c>
    </row>
    <row r="607" spans="2:11" x14ac:dyDescent="0.2">
      <c r="B607" s="16"/>
      <c r="C607" s="16"/>
      <c r="D607" s="16"/>
      <c r="E607" s="16"/>
      <c r="F607" s="16"/>
      <c r="G607" s="16"/>
      <c r="H607" s="21" t="s">
        <v>664</v>
      </c>
      <c r="I607" s="18"/>
      <c r="J607" s="22" t="s">
        <v>665</v>
      </c>
      <c r="K607" s="23">
        <v>1200000000</v>
      </c>
    </row>
    <row r="608" spans="2:11" x14ac:dyDescent="0.2">
      <c r="B608" s="16"/>
      <c r="C608" s="16"/>
      <c r="D608" s="16"/>
      <c r="E608" s="16"/>
      <c r="F608" s="16"/>
      <c r="G608" s="16"/>
      <c r="H608" s="21" t="s">
        <v>666</v>
      </c>
      <c r="I608" s="18"/>
      <c r="J608" s="22" t="s">
        <v>667</v>
      </c>
      <c r="K608" s="23">
        <v>1200000000</v>
      </c>
    </row>
    <row r="609" spans="2:11" s="13" customFormat="1" ht="15" x14ac:dyDescent="0.25">
      <c r="B609" s="16" t="s">
        <v>1002</v>
      </c>
      <c r="C609" s="16" t="s">
        <v>1008</v>
      </c>
      <c r="D609" s="46" t="s">
        <v>1051</v>
      </c>
      <c r="E609" s="16" t="s">
        <v>1015</v>
      </c>
      <c r="F609" s="16" t="s">
        <v>1022</v>
      </c>
      <c r="G609" s="16" t="s">
        <v>1025</v>
      </c>
      <c r="H609" s="21" t="s">
        <v>668</v>
      </c>
      <c r="I609" s="18" t="str">
        <f>RIGHT(H609,4)</f>
        <v>- 69</v>
      </c>
      <c r="J609" s="22" t="s">
        <v>667</v>
      </c>
      <c r="K609" s="23">
        <v>1200000000</v>
      </c>
    </row>
    <row r="610" spans="2:11" s="13" customFormat="1" ht="15" x14ac:dyDescent="0.25">
      <c r="B610" s="24"/>
      <c r="C610" s="24"/>
      <c r="D610" s="24"/>
      <c r="E610" s="24"/>
      <c r="F610" s="24"/>
      <c r="G610" s="24"/>
      <c r="H610" s="17" t="s">
        <v>669</v>
      </c>
      <c r="I610" s="18"/>
      <c r="J610" s="19" t="s">
        <v>225</v>
      </c>
      <c r="K610" s="20">
        <v>37500000000</v>
      </c>
    </row>
    <row r="611" spans="2:11" s="13" customFormat="1" ht="15" x14ac:dyDescent="0.25">
      <c r="B611" s="24"/>
      <c r="C611" s="24"/>
      <c r="D611" s="24"/>
      <c r="E611" s="24"/>
      <c r="F611" s="24"/>
      <c r="G611" s="24"/>
      <c r="H611" s="17" t="s">
        <v>670</v>
      </c>
      <c r="I611" s="18"/>
      <c r="J611" s="19" t="s">
        <v>239</v>
      </c>
      <c r="K611" s="20">
        <v>0</v>
      </c>
    </row>
    <row r="612" spans="2:11" ht="15" x14ac:dyDescent="0.25">
      <c r="B612" s="16"/>
      <c r="C612" s="16"/>
      <c r="D612" s="16"/>
      <c r="E612" s="16"/>
      <c r="F612" s="16"/>
      <c r="G612" s="16"/>
      <c r="H612" s="17" t="s">
        <v>671</v>
      </c>
      <c r="I612" s="18"/>
      <c r="J612" s="19" t="s">
        <v>241</v>
      </c>
      <c r="K612" s="20">
        <v>0</v>
      </c>
    </row>
    <row r="613" spans="2:11" x14ac:dyDescent="0.2">
      <c r="B613" s="16" t="s">
        <v>1002</v>
      </c>
      <c r="C613" s="16" t="s">
        <v>1008</v>
      </c>
      <c r="D613" s="46" t="s">
        <v>1051</v>
      </c>
      <c r="E613" s="16" t="s">
        <v>1016</v>
      </c>
      <c r="F613" s="16" t="s">
        <v>1023</v>
      </c>
      <c r="G613" s="16" t="s">
        <v>1028</v>
      </c>
      <c r="H613" s="21" t="s">
        <v>672</v>
      </c>
      <c r="I613" s="18" t="str">
        <f t="shared" ref="I613:I621" si="15">RIGHT(H613,4)</f>
        <v xml:space="preserve"> 04F</v>
      </c>
      <c r="J613" s="22" t="s">
        <v>241</v>
      </c>
      <c r="K613" s="23">
        <v>0</v>
      </c>
    </row>
    <row r="614" spans="2:11" x14ac:dyDescent="0.2">
      <c r="B614" s="16" t="s">
        <v>1002</v>
      </c>
      <c r="C614" s="16" t="s">
        <v>1008</v>
      </c>
      <c r="D614" s="46" t="s">
        <v>1051</v>
      </c>
      <c r="E614" s="16" t="s">
        <v>1016</v>
      </c>
      <c r="F614" s="16" t="s">
        <v>1023</v>
      </c>
      <c r="G614" s="16" t="s">
        <v>1028</v>
      </c>
      <c r="H614" s="21" t="s">
        <v>673</v>
      </c>
      <c r="I614" s="18" t="str">
        <f t="shared" si="15"/>
        <v xml:space="preserve"> 05F</v>
      </c>
      <c r="J614" s="22" t="s">
        <v>241</v>
      </c>
      <c r="K614" s="23">
        <v>0</v>
      </c>
    </row>
    <row r="615" spans="2:11" x14ac:dyDescent="0.2">
      <c r="B615" s="16" t="s">
        <v>1002</v>
      </c>
      <c r="C615" s="16" t="s">
        <v>1008</v>
      </c>
      <c r="D615" s="46" t="s">
        <v>1051</v>
      </c>
      <c r="E615" s="16" t="s">
        <v>1016</v>
      </c>
      <c r="F615" s="16" t="s">
        <v>1023</v>
      </c>
      <c r="G615" s="16" t="s">
        <v>1028</v>
      </c>
      <c r="H615" s="21" t="s">
        <v>674</v>
      </c>
      <c r="I615" s="18" t="str">
        <f t="shared" si="15"/>
        <v>06DF</v>
      </c>
      <c r="J615" s="22" t="s">
        <v>241</v>
      </c>
      <c r="K615" s="23">
        <v>0</v>
      </c>
    </row>
    <row r="616" spans="2:11" x14ac:dyDescent="0.2">
      <c r="B616" s="16" t="s">
        <v>1002</v>
      </c>
      <c r="C616" s="16" t="s">
        <v>1008</v>
      </c>
      <c r="D616" s="46" t="s">
        <v>1051</v>
      </c>
      <c r="E616" s="16" t="s">
        <v>1016</v>
      </c>
      <c r="F616" s="16" t="s">
        <v>1023</v>
      </c>
      <c r="G616" s="16" t="s">
        <v>1028</v>
      </c>
      <c r="H616" s="21" t="s">
        <v>675</v>
      </c>
      <c r="I616" s="18" t="str">
        <f t="shared" si="15"/>
        <v xml:space="preserve"> 06F</v>
      </c>
      <c r="J616" s="22" t="s">
        <v>241</v>
      </c>
      <c r="K616" s="23">
        <v>0</v>
      </c>
    </row>
    <row r="617" spans="2:11" x14ac:dyDescent="0.2">
      <c r="B617" s="16" t="s">
        <v>1002</v>
      </c>
      <c r="C617" s="16" t="s">
        <v>1008</v>
      </c>
      <c r="D617" s="46" t="s">
        <v>1051</v>
      </c>
      <c r="E617" s="16" t="s">
        <v>1015</v>
      </c>
      <c r="F617" s="16" t="s">
        <v>1023</v>
      </c>
      <c r="G617" s="16" t="s">
        <v>1028</v>
      </c>
      <c r="H617" s="21" t="s">
        <v>676</v>
      </c>
      <c r="I617" s="18" t="str">
        <f t="shared" si="15"/>
        <v xml:space="preserve"> 09F</v>
      </c>
      <c r="J617" s="22" t="s">
        <v>241</v>
      </c>
      <c r="K617" s="23">
        <v>0</v>
      </c>
    </row>
    <row r="618" spans="2:11" x14ac:dyDescent="0.2">
      <c r="B618" s="16" t="s">
        <v>1002</v>
      </c>
      <c r="C618" s="16" t="s">
        <v>1008</v>
      </c>
      <c r="D618" s="46" t="s">
        <v>1051</v>
      </c>
      <c r="E618" s="16" t="s">
        <v>1015</v>
      </c>
      <c r="F618" s="16" t="s">
        <v>1023</v>
      </c>
      <c r="G618" s="16" t="s">
        <v>1028</v>
      </c>
      <c r="H618" s="21" t="s">
        <v>677</v>
      </c>
      <c r="I618" s="18" t="str">
        <f t="shared" si="15"/>
        <v>100F</v>
      </c>
      <c r="J618" s="22" t="s">
        <v>241</v>
      </c>
      <c r="K618" s="23">
        <v>0</v>
      </c>
    </row>
    <row r="619" spans="2:11" x14ac:dyDescent="0.2">
      <c r="B619" s="16" t="s">
        <v>1002</v>
      </c>
      <c r="C619" s="16" t="s">
        <v>1008</v>
      </c>
      <c r="D619" s="46" t="s">
        <v>1051</v>
      </c>
      <c r="E619" s="16" t="s">
        <v>1016</v>
      </c>
      <c r="F619" s="16" t="s">
        <v>1023</v>
      </c>
      <c r="G619" s="16" t="s">
        <v>1028</v>
      </c>
      <c r="H619" s="21" t="s">
        <v>678</v>
      </c>
      <c r="I619" s="18" t="str">
        <f t="shared" si="15"/>
        <v xml:space="preserve"> 12F</v>
      </c>
      <c r="J619" s="22" t="s">
        <v>241</v>
      </c>
      <c r="K619" s="23">
        <v>0</v>
      </c>
    </row>
    <row r="620" spans="2:11" x14ac:dyDescent="0.2">
      <c r="B620" s="16" t="s">
        <v>1002</v>
      </c>
      <c r="C620" s="16" t="s">
        <v>1008</v>
      </c>
      <c r="D620" s="46" t="s">
        <v>1051</v>
      </c>
      <c r="E620" s="16" t="s">
        <v>1015</v>
      </c>
      <c r="F620" s="16" t="s">
        <v>1023</v>
      </c>
      <c r="G620" s="16" t="s">
        <v>1028</v>
      </c>
      <c r="H620" s="21" t="s">
        <v>679</v>
      </c>
      <c r="I620" s="18" t="str">
        <f t="shared" si="15"/>
        <v xml:space="preserve"> 69F</v>
      </c>
      <c r="J620" s="22" t="s">
        <v>241</v>
      </c>
      <c r="K620" s="23">
        <v>0</v>
      </c>
    </row>
    <row r="621" spans="2:11" s="13" customFormat="1" ht="15" x14ac:dyDescent="0.25">
      <c r="B621" s="16" t="s">
        <v>1002</v>
      </c>
      <c r="C621" s="16" t="s">
        <v>1008</v>
      </c>
      <c r="D621" s="46" t="s">
        <v>1051</v>
      </c>
      <c r="E621" s="16" t="s">
        <v>1016</v>
      </c>
      <c r="F621" s="16" t="s">
        <v>1023</v>
      </c>
      <c r="G621" s="16" t="s">
        <v>1028</v>
      </c>
      <c r="H621" s="21" t="s">
        <v>680</v>
      </c>
      <c r="I621" s="18" t="str">
        <f t="shared" si="15"/>
        <v xml:space="preserve"> 84F</v>
      </c>
      <c r="J621" s="22" t="s">
        <v>241</v>
      </c>
      <c r="K621" s="23">
        <v>0</v>
      </c>
    </row>
    <row r="622" spans="2:11" s="13" customFormat="1" ht="15" x14ac:dyDescent="0.25">
      <c r="B622" s="24"/>
      <c r="C622" s="24"/>
      <c r="D622" s="24"/>
      <c r="E622" s="24"/>
      <c r="F622" s="24"/>
      <c r="G622" s="24"/>
      <c r="H622" s="17" t="s">
        <v>681</v>
      </c>
      <c r="I622" s="18"/>
      <c r="J622" s="19" t="s">
        <v>267</v>
      </c>
      <c r="K622" s="20">
        <v>0</v>
      </c>
    </row>
    <row r="623" spans="2:11" ht="15" x14ac:dyDescent="0.25">
      <c r="B623" s="16"/>
      <c r="C623" s="16"/>
      <c r="D623" s="16"/>
      <c r="E623" s="16"/>
      <c r="F623" s="16"/>
      <c r="G623" s="16"/>
      <c r="H623" s="17" t="s">
        <v>682</v>
      </c>
      <c r="I623" s="18"/>
      <c r="J623" s="19" t="s">
        <v>271</v>
      </c>
      <c r="K623" s="20">
        <v>0</v>
      </c>
    </row>
    <row r="624" spans="2:11" x14ac:dyDescent="0.2">
      <c r="B624" s="16" t="s">
        <v>1002</v>
      </c>
      <c r="C624" s="16" t="s">
        <v>1008</v>
      </c>
      <c r="D624" s="46" t="s">
        <v>1051</v>
      </c>
      <c r="E624" s="16" t="s">
        <v>1016</v>
      </c>
      <c r="F624" s="16" t="s">
        <v>1023</v>
      </c>
      <c r="G624" s="16" t="s">
        <v>1030</v>
      </c>
      <c r="H624" s="21" t="s">
        <v>759</v>
      </c>
      <c r="I624" s="18" t="str">
        <f t="shared" ref="I624:I629" si="16">RIGHT(H624,4)</f>
        <v>04RB</v>
      </c>
      <c r="J624" s="22" t="s">
        <v>271</v>
      </c>
      <c r="K624" s="23"/>
    </row>
    <row r="625" spans="2:11" x14ac:dyDescent="0.2">
      <c r="B625" s="16" t="s">
        <v>1002</v>
      </c>
      <c r="C625" s="16" t="s">
        <v>1008</v>
      </c>
      <c r="D625" s="46" t="s">
        <v>1051</v>
      </c>
      <c r="E625" s="16" t="s">
        <v>1016</v>
      </c>
      <c r="F625" s="16" t="s">
        <v>1023</v>
      </c>
      <c r="G625" s="16" t="s">
        <v>1030</v>
      </c>
      <c r="H625" s="21" t="s">
        <v>760</v>
      </c>
      <c r="I625" s="18" t="str">
        <f t="shared" si="16"/>
        <v>06RB</v>
      </c>
      <c r="J625" s="22" t="s">
        <v>271</v>
      </c>
      <c r="K625" s="23"/>
    </row>
    <row r="626" spans="2:11" x14ac:dyDescent="0.2">
      <c r="B626" s="16" t="s">
        <v>1002</v>
      </c>
      <c r="C626" s="16" t="s">
        <v>1008</v>
      </c>
      <c r="D626" s="46" t="s">
        <v>1051</v>
      </c>
      <c r="E626" s="16" t="s">
        <v>1015</v>
      </c>
      <c r="F626" s="16" t="s">
        <v>1023</v>
      </c>
      <c r="G626" s="16" t="s">
        <v>1030</v>
      </c>
      <c r="H626" s="21" t="s">
        <v>761</v>
      </c>
      <c r="I626" s="18" t="str">
        <f t="shared" si="16"/>
        <v>09RB</v>
      </c>
      <c r="J626" s="22" t="s">
        <v>271</v>
      </c>
      <c r="K626" s="23"/>
    </row>
    <row r="627" spans="2:11" x14ac:dyDescent="0.2">
      <c r="B627" s="16" t="s">
        <v>1002</v>
      </c>
      <c r="C627" s="16" t="s">
        <v>1008</v>
      </c>
      <c r="D627" s="46" t="s">
        <v>1051</v>
      </c>
      <c r="E627" s="16" t="s">
        <v>1015</v>
      </c>
      <c r="F627" s="16" t="s">
        <v>1023</v>
      </c>
      <c r="G627" s="16" t="s">
        <v>1030</v>
      </c>
      <c r="H627" s="21" t="s">
        <v>762</v>
      </c>
      <c r="I627" s="18" t="str">
        <f t="shared" si="16"/>
        <v>100R</v>
      </c>
      <c r="J627" s="22" t="s">
        <v>271</v>
      </c>
      <c r="K627" s="23"/>
    </row>
    <row r="628" spans="2:11" x14ac:dyDescent="0.2">
      <c r="B628" s="16" t="s">
        <v>1002</v>
      </c>
      <c r="C628" s="16" t="s">
        <v>1008</v>
      </c>
      <c r="D628" s="46" t="s">
        <v>1051</v>
      </c>
      <c r="E628" s="16" t="s">
        <v>1016</v>
      </c>
      <c r="F628" s="16" t="s">
        <v>1023</v>
      </c>
      <c r="G628" s="16" t="s">
        <v>1030</v>
      </c>
      <c r="H628" s="21" t="s">
        <v>763</v>
      </c>
      <c r="I628" s="18" t="str">
        <f t="shared" si="16"/>
        <v>12RB</v>
      </c>
      <c r="J628" s="22" t="s">
        <v>271</v>
      </c>
      <c r="K628" s="23"/>
    </row>
    <row r="629" spans="2:11" s="13" customFormat="1" ht="15" x14ac:dyDescent="0.25">
      <c r="B629" s="16" t="s">
        <v>1002</v>
      </c>
      <c r="C629" s="16" t="s">
        <v>1008</v>
      </c>
      <c r="D629" s="46" t="s">
        <v>1051</v>
      </c>
      <c r="E629" s="16" t="s">
        <v>1015</v>
      </c>
      <c r="F629" s="16" t="s">
        <v>1023</v>
      </c>
      <c r="G629" s="16" t="s">
        <v>1030</v>
      </c>
      <c r="H629" s="21" t="s">
        <v>764</v>
      </c>
      <c r="I629" s="18" t="str">
        <f t="shared" si="16"/>
        <v>69RB</v>
      </c>
      <c r="J629" s="22" t="s">
        <v>271</v>
      </c>
      <c r="K629" s="23"/>
    </row>
    <row r="630" spans="2:11" s="13" customFormat="1" ht="15" x14ac:dyDescent="0.25">
      <c r="B630" s="24"/>
      <c r="C630" s="24"/>
      <c r="D630" s="24"/>
      <c r="E630" s="24"/>
      <c r="F630" s="24"/>
      <c r="G630" s="24"/>
      <c r="H630" s="17" t="s">
        <v>683</v>
      </c>
      <c r="I630" s="18"/>
      <c r="J630" s="19" t="s">
        <v>684</v>
      </c>
      <c r="K630" s="20">
        <v>37500000000</v>
      </c>
    </row>
    <row r="631" spans="2:11" ht="15" x14ac:dyDescent="0.25">
      <c r="B631" s="16"/>
      <c r="C631" s="16"/>
      <c r="D631" s="16"/>
      <c r="E631" s="16"/>
      <c r="F631" s="16"/>
      <c r="G631" s="16"/>
      <c r="H631" s="17" t="s">
        <v>688</v>
      </c>
      <c r="I631" s="18"/>
      <c r="J631" s="19" t="s">
        <v>685</v>
      </c>
      <c r="K631" s="20">
        <v>37500000000</v>
      </c>
    </row>
    <row r="632" spans="2:11" x14ac:dyDescent="0.2">
      <c r="B632" s="16" t="s">
        <v>1002</v>
      </c>
      <c r="C632" s="16" t="s">
        <v>1008</v>
      </c>
      <c r="D632" s="46" t="s">
        <v>1051</v>
      </c>
      <c r="E632" s="16" t="s">
        <v>1015</v>
      </c>
      <c r="F632" s="16" t="s">
        <v>1023</v>
      </c>
      <c r="G632" s="16" t="s">
        <v>1033</v>
      </c>
      <c r="H632" s="21" t="s">
        <v>982</v>
      </c>
      <c r="I632" s="18">
        <v>100</v>
      </c>
      <c r="J632" s="22" t="s">
        <v>685</v>
      </c>
      <c r="K632" s="23">
        <v>4000000000</v>
      </c>
    </row>
    <row r="633" spans="2:11" s="13" customFormat="1" ht="15" x14ac:dyDescent="0.25">
      <c r="B633" s="16" t="s">
        <v>1002</v>
      </c>
      <c r="C633" s="16" t="s">
        <v>1008</v>
      </c>
      <c r="D633" s="46" t="s">
        <v>1051</v>
      </c>
      <c r="E633" s="16" t="s">
        <v>1015</v>
      </c>
      <c r="F633" s="16" t="s">
        <v>1023</v>
      </c>
      <c r="G633" s="16" t="s">
        <v>1033</v>
      </c>
      <c r="H633" s="21" t="s">
        <v>966</v>
      </c>
      <c r="I633" s="18" t="s">
        <v>967</v>
      </c>
      <c r="J633" s="22" t="s">
        <v>685</v>
      </c>
      <c r="K633" s="23">
        <v>33500000000</v>
      </c>
    </row>
    <row r="634" spans="2:11" s="13" customFormat="1" ht="15" x14ac:dyDescent="0.25">
      <c r="B634" s="24"/>
      <c r="C634" s="24"/>
      <c r="D634" s="24"/>
      <c r="E634" s="24"/>
      <c r="F634" s="24"/>
      <c r="G634" s="24"/>
      <c r="H634" s="17" t="s">
        <v>686</v>
      </c>
      <c r="I634" s="18"/>
      <c r="J634" s="19" t="s">
        <v>273</v>
      </c>
      <c r="K634" s="20">
        <v>0</v>
      </c>
    </row>
    <row r="635" spans="2:11" ht="15" x14ac:dyDescent="0.25">
      <c r="B635" s="16"/>
      <c r="C635" s="16"/>
      <c r="D635" s="16"/>
      <c r="E635" s="16"/>
      <c r="F635" s="16"/>
      <c r="G635" s="16"/>
      <c r="H635" s="17" t="s">
        <v>687</v>
      </c>
      <c r="I635" s="18"/>
      <c r="J635" s="19" t="s">
        <v>275</v>
      </c>
      <c r="K635" s="20">
        <v>0</v>
      </c>
    </row>
    <row r="636" spans="2:11" x14ac:dyDescent="0.2">
      <c r="B636" s="16" t="s">
        <v>1002</v>
      </c>
      <c r="C636" s="16" t="s">
        <v>1008</v>
      </c>
      <c r="D636" s="46" t="s">
        <v>1051</v>
      </c>
      <c r="E636" s="16" t="s">
        <v>1016</v>
      </c>
      <c r="F636" s="16" t="s">
        <v>1023</v>
      </c>
      <c r="G636" s="16" t="s">
        <v>1031</v>
      </c>
      <c r="H636" s="21" t="s">
        <v>765</v>
      </c>
      <c r="I636" s="48" t="str">
        <f>RIGHT(H636,4)</f>
        <v>- 06</v>
      </c>
      <c r="J636" s="22" t="s">
        <v>275</v>
      </c>
      <c r="K636" s="23"/>
    </row>
    <row r="637" spans="2:11" x14ac:dyDescent="0.2">
      <c r="B637" s="16" t="s">
        <v>1002</v>
      </c>
      <c r="C637" s="16" t="s">
        <v>1008</v>
      </c>
      <c r="D637" s="46" t="s">
        <v>1051</v>
      </c>
      <c r="E637" s="16" t="s">
        <v>1016</v>
      </c>
      <c r="F637" s="16" t="s">
        <v>1023</v>
      </c>
      <c r="G637" s="16" t="s">
        <v>1031</v>
      </c>
      <c r="H637" s="21" t="s">
        <v>766</v>
      </c>
      <c r="I637" s="18" t="str">
        <f>RIGHT(H637,4)</f>
        <v xml:space="preserve"> 06D</v>
      </c>
      <c r="J637" s="22" t="s">
        <v>275</v>
      </c>
      <c r="K637" s="23"/>
    </row>
    <row r="638" spans="2:11" ht="13.5" customHeight="1" x14ac:dyDescent="0.2">
      <c r="B638" s="16" t="s">
        <v>1002</v>
      </c>
      <c r="C638" s="16" t="s">
        <v>1008</v>
      </c>
      <c r="D638" s="46" t="s">
        <v>1051</v>
      </c>
      <c r="E638" s="16" t="s">
        <v>1015</v>
      </c>
      <c r="F638" s="16" t="s">
        <v>1023</v>
      </c>
      <c r="G638" s="16" t="s">
        <v>1031</v>
      </c>
      <c r="H638" s="21" t="s">
        <v>767</v>
      </c>
      <c r="I638" s="18" t="str">
        <f>RIGHT(H638,4)</f>
        <v xml:space="preserve"> 100</v>
      </c>
      <c r="J638" s="22" t="s">
        <v>275</v>
      </c>
      <c r="K638" s="23"/>
    </row>
    <row r="639" spans="2:11" ht="15" x14ac:dyDescent="0.25">
      <c r="B639" s="16"/>
      <c r="C639" s="16"/>
      <c r="D639" s="16"/>
      <c r="E639" s="16"/>
      <c r="F639" s="16"/>
      <c r="G639" s="16"/>
      <c r="H639" s="49" t="s">
        <v>804</v>
      </c>
      <c r="I639" s="49"/>
      <c r="J639" s="49"/>
      <c r="K639" s="26">
        <v>75255807463</v>
      </c>
    </row>
    <row r="640" spans="2:11" x14ac:dyDescent="0.2">
      <c r="B640" s="16"/>
      <c r="C640" s="16"/>
      <c r="D640" s="16"/>
      <c r="E640" s="16"/>
      <c r="F640" s="16"/>
      <c r="G640" s="16"/>
      <c r="H640" s="45"/>
      <c r="I640" s="46"/>
      <c r="J640" s="22"/>
      <c r="K640" s="23"/>
    </row>
    <row r="641" spans="2:11" s="52" customFormat="1" ht="15" x14ac:dyDescent="0.25">
      <c r="B641" s="45"/>
      <c r="C641" s="45"/>
      <c r="D641" s="45"/>
      <c r="E641" s="45"/>
      <c r="F641" s="45"/>
      <c r="G641" s="45"/>
      <c r="H641" s="50" t="s">
        <v>805</v>
      </c>
      <c r="I641" s="50"/>
      <c r="J641" s="50"/>
      <c r="K641" s="51">
        <f>+K673+K696+K718+K741+K757+K785+K810</f>
        <v>70821787091</v>
      </c>
    </row>
    <row r="642" spans="2:11" ht="15" x14ac:dyDescent="0.25">
      <c r="B642" s="16"/>
      <c r="C642" s="16"/>
      <c r="D642" s="16"/>
      <c r="E642" s="16"/>
      <c r="F642" s="16"/>
      <c r="G642" s="16"/>
      <c r="H642" s="53" t="s">
        <v>806</v>
      </c>
      <c r="I642" s="53"/>
      <c r="J642" s="53"/>
      <c r="K642" s="54"/>
    </row>
    <row r="643" spans="2:11" ht="15" x14ac:dyDescent="0.25">
      <c r="B643" s="16"/>
      <c r="C643" s="16"/>
      <c r="D643" s="16"/>
      <c r="E643" s="16"/>
      <c r="F643" s="16"/>
      <c r="G643" s="16"/>
      <c r="H643" s="53" t="s">
        <v>807</v>
      </c>
      <c r="I643" s="53"/>
      <c r="J643" s="53"/>
      <c r="K643" s="54"/>
    </row>
    <row r="644" spans="2:11" ht="15" x14ac:dyDescent="0.2">
      <c r="B644" s="16"/>
      <c r="C644" s="16"/>
      <c r="D644" s="16"/>
      <c r="E644" s="16"/>
      <c r="F644" s="16"/>
      <c r="G644" s="16"/>
      <c r="H644" s="55" t="s">
        <v>778</v>
      </c>
      <c r="I644" s="56"/>
      <c r="J644" s="32" t="s">
        <v>779</v>
      </c>
      <c r="K644" s="57"/>
    </row>
    <row r="645" spans="2:11" ht="15" x14ac:dyDescent="0.2">
      <c r="B645" s="16"/>
      <c r="C645" s="16"/>
      <c r="D645" s="16"/>
      <c r="E645" s="16"/>
      <c r="F645" s="16"/>
      <c r="G645" s="16"/>
      <c r="H645" s="58">
        <v>1</v>
      </c>
      <c r="I645" s="59"/>
      <c r="J645" s="60" t="s">
        <v>768</v>
      </c>
      <c r="K645" s="61">
        <v>707000000</v>
      </c>
    </row>
    <row r="646" spans="2:11" ht="15" x14ac:dyDescent="0.2">
      <c r="B646" s="16"/>
      <c r="C646" s="16"/>
      <c r="D646" s="16"/>
      <c r="E646" s="16"/>
      <c r="F646" s="16"/>
      <c r="G646" s="16"/>
      <c r="H646" s="58" t="s">
        <v>809</v>
      </c>
      <c r="I646" s="59"/>
      <c r="J646" s="60" t="s">
        <v>769</v>
      </c>
      <c r="K646" s="61">
        <v>700000000</v>
      </c>
    </row>
    <row r="647" spans="2:11" ht="15" x14ac:dyDescent="0.2">
      <c r="B647" s="16"/>
      <c r="C647" s="16"/>
      <c r="D647" s="16"/>
      <c r="E647" s="16"/>
      <c r="F647" s="16"/>
      <c r="G647" s="16"/>
      <c r="H647" s="58" t="s">
        <v>810</v>
      </c>
      <c r="I647" s="59"/>
      <c r="J647" s="60" t="s">
        <v>770</v>
      </c>
      <c r="K647" s="61">
        <v>700000000</v>
      </c>
    </row>
    <row r="648" spans="2:11" ht="15" x14ac:dyDescent="0.2">
      <c r="B648" s="16"/>
      <c r="C648" s="16"/>
      <c r="D648" s="16"/>
      <c r="E648" s="16"/>
      <c r="F648" s="16"/>
      <c r="G648" s="16"/>
      <c r="H648" s="58" t="s">
        <v>811</v>
      </c>
      <c r="I648" s="59"/>
      <c r="J648" s="60" t="s">
        <v>812</v>
      </c>
      <c r="K648" s="61">
        <v>700000000</v>
      </c>
    </row>
    <row r="649" spans="2:11" ht="15" x14ac:dyDescent="0.2">
      <c r="B649" s="16"/>
      <c r="C649" s="16"/>
      <c r="D649" s="16"/>
      <c r="E649" s="16"/>
      <c r="F649" s="16"/>
      <c r="G649" s="16"/>
      <c r="H649" s="58" t="s">
        <v>813</v>
      </c>
      <c r="I649" s="59"/>
      <c r="J649" s="60" t="s">
        <v>814</v>
      </c>
      <c r="K649" s="61">
        <v>700000000</v>
      </c>
    </row>
    <row r="650" spans="2:11" x14ac:dyDescent="0.2">
      <c r="B650" s="16" t="s">
        <v>1003</v>
      </c>
      <c r="C650" s="16" t="s">
        <v>1009</v>
      </c>
      <c r="D650" s="46" t="s">
        <v>1051</v>
      </c>
      <c r="E650" s="16" t="s">
        <v>1014</v>
      </c>
      <c r="F650" s="16" t="s">
        <v>1022</v>
      </c>
      <c r="G650" s="16" t="s">
        <v>1025</v>
      </c>
      <c r="H650" s="62" t="s">
        <v>815</v>
      </c>
      <c r="I650" s="63">
        <v>200</v>
      </c>
      <c r="J650" s="64" t="s">
        <v>816</v>
      </c>
      <c r="K650" s="23">
        <v>700000000</v>
      </c>
    </row>
    <row r="651" spans="2:11" ht="15" x14ac:dyDescent="0.2">
      <c r="B651" s="16"/>
      <c r="C651" s="16"/>
      <c r="D651" s="16"/>
      <c r="E651" s="16"/>
      <c r="F651" s="16"/>
      <c r="G651" s="16"/>
      <c r="H651" s="58" t="s">
        <v>817</v>
      </c>
      <c r="I651" s="59"/>
      <c r="J651" s="60" t="s">
        <v>818</v>
      </c>
      <c r="K651" s="61">
        <v>0</v>
      </c>
    </row>
    <row r="652" spans="2:11" ht="15" x14ac:dyDescent="0.2">
      <c r="B652" s="16"/>
      <c r="C652" s="16"/>
      <c r="D652" s="16"/>
      <c r="E652" s="16"/>
      <c r="F652" s="16"/>
      <c r="G652" s="16"/>
      <c r="H652" s="58" t="s">
        <v>819</v>
      </c>
      <c r="I652" s="59"/>
      <c r="J652" s="60" t="s">
        <v>820</v>
      </c>
      <c r="K652" s="61">
        <v>0</v>
      </c>
    </row>
    <row r="653" spans="2:11" ht="15" x14ac:dyDescent="0.2">
      <c r="B653" s="16"/>
      <c r="C653" s="16"/>
      <c r="D653" s="16"/>
      <c r="E653" s="16"/>
      <c r="F653" s="16"/>
      <c r="G653" s="16"/>
      <c r="H653" s="58" t="s">
        <v>821</v>
      </c>
      <c r="I653" s="59"/>
      <c r="J653" s="60" t="s">
        <v>822</v>
      </c>
      <c r="K653" s="61">
        <v>0</v>
      </c>
    </row>
    <row r="654" spans="2:11" ht="15" x14ac:dyDescent="0.2">
      <c r="B654" s="16"/>
      <c r="C654" s="16"/>
      <c r="D654" s="16"/>
      <c r="E654" s="16"/>
      <c r="F654" s="16"/>
      <c r="G654" s="16"/>
      <c r="H654" s="58" t="s">
        <v>823</v>
      </c>
      <c r="I654" s="59"/>
      <c r="J654" s="60" t="s">
        <v>824</v>
      </c>
      <c r="K654" s="61">
        <v>0</v>
      </c>
    </row>
    <row r="655" spans="2:11" x14ac:dyDescent="0.2">
      <c r="B655" s="16" t="s">
        <v>1003</v>
      </c>
      <c r="C655" s="16" t="s">
        <v>1009</v>
      </c>
      <c r="D655" s="46" t="s">
        <v>1051</v>
      </c>
      <c r="E655" s="16" t="s">
        <v>1016</v>
      </c>
      <c r="F655" s="16" t="s">
        <v>1022</v>
      </c>
      <c r="G655" s="16" t="s">
        <v>1025</v>
      </c>
      <c r="H655" s="62" t="s">
        <v>825</v>
      </c>
      <c r="I655" s="63">
        <v>4</v>
      </c>
      <c r="J655" s="64" t="s">
        <v>839</v>
      </c>
      <c r="K655" s="23">
        <v>0</v>
      </c>
    </row>
    <row r="656" spans="2:11" ht="28.5" customHeight="1" x14ac:dyDescent="0.2">
      <c r="B656" s="16" t="s">
        <v>1003</v>
      </c>
      <c r="C656" s="16" t="s">
        <v>1009</v>
      </c>
      <c r="D656" s="46" t="s">
        <v>1051</v>
      </c>
      <c r="E656" s="16" t="s">
        <v>1015</v>
      </c>
      <c r="F656" s="16" t="s">
        <v>1022</v>
      </c>
      <c r="G656" s="16" t="s">
        <v>1025</v>
      </c>
      <c r="H656" s="62" t="s">
        <v>825</v>
      </c>
      <c r="I656" s="63">
        <v>58</v>
      </c>
      <c r="J656" s="64" t="s">
        <v>826</v>
      </c>
      <c r="K656" s="23">
        <v>0</v>
      </c>
    </row>
    <row r="657" spans="2:11" x14ac:dyDescent="0.2">
      <c r="B657" s="16" t="s">
        <v>1003</v>
      </c>
      <c r="C657" s="16" t="s">
        <v>1009</v>
      </c>
      <c r="D657" s="46" t="s">
        <v>1051</v>
      </c>
      <c r="E657" s="16" t="s">
        <v>1015</v>
      </c>
      <c r="F657" s="16" t="s">
        <v>1022</v>
      </c>
      <c r="G657" s="16" t="s">
        <v>1025</v>
      </c>
      <c r="H657" s="62" t="s">
        <v>825</v>
      </c>
      <c r="I657" s="63">
        <v>60</v>
      </c>
      <c r="J657" s="64" t="s">
        <v>827</v>
      </c>
      <c r="K657" s="23">
        <v>0</v>
      </c>
    </row>
    <row r="658" spans="2:11" x14ac:dyDescent="0.2">
      <c r="B658" s="16" t="s">
        <v>1003</v>
      </c>
      <c r="C658" s="16" t="s">
        <v>1009</v>
      </c>
      <c r="D658" s="46" t="s">
        <v>1051</v>
      </c>
      <c r="E658" s="16" t="s">
        <v>1015</v>
      </c>
      <c r="F658" s="16" t="s">
        <v>1022</v>
      </c>
      <c r="G658" s="16" t="s">
        <v>1025</v>
      </c>
      <c r="H658" s="62" t="s">
        <v>825</v>
      </c>
      <c r="I658" s="63">
        <v>61</v>
      </c>
      <c r="J658" s="64" t="s">
        <v>828</v>
      </c>
      <c r="K658" s="23">
        <v>0</v>
      </c>
    </row>
    <row r="659" spans="2:11" x14ac:dyDescent="0.2">
      <c r="B659" s="16" t="s">
        <v>1003</v>
      </c>
      <c r="C659" s="16" t="s">
        <v>1009</v>
      </c>
      <c r="D659" s="46" t="s">
        <v>1051</v>
      </c>
      <c r="E659" s="16" t="s">
        <v>1014</v>
      </c>
      <c r="F659" s="16" t="s">
        <v>1022</v>
      </c>
      <c r="G659" s="16" t="s">
        <v>1025</v>
      </c>
      <c r="H659" s="62" t="s">
        <v>825</v>
      </c>
      <c r="I659" s="63">
        <v>20</v>
      </c>
      <c r="J659" s="64" t="s">
        <v>829</v>
      </c>
      <c r="K659" s="23">
        <v>0</v>
      </c>
    </row>
    <row r="660" spans="2:11" ht="15" x14ac:dyDescent="0.2">
      <c r="B660" s="16" t="s">
        <v>1003</v>
      </c>
      <c r="C660" s="16" t="s">
        <v>1009</v>
      </c>
      <c r="D660" s="46" t="s">
        <v>1051</v>
      </c>
      <c r="E660" s="16" t="s">
        <v>1014</v>
      </c>
      <c r="F660" s="16" t="s">
        <v>1022</v>
      </c>
      <c r="G660" s="16" t="s">
        <v>1025</v>
      </c>
      <c r="H660" s="58" t="s">
        <v>825</v>
      </c>
      <c r="I660" s="59">
        <v>20</v>
      </c>
      <c r="J660" s="60" t="s">
        <v>830</v>
      </c>
      <c r="K660" s="61">
        <v>0</v>
      </c>
    </row>
    <row r="661" spans="2:11" ht="15" x14ac:dyDescent="0.2">
      <c r="B661" s="16"/>
      <c r="C661" s="16"/>
      <c r="D661" s="16"/>
      <c r="E661" s="16"/>
      <c r="F661" s="16"/>
      <c r="G661" s="16"/>
      <c r="H661" s="58" t="s">
        <v>831</v>
      </c>
      <c r="I661" s="59"/>
      <c r="J661" s="60" t="s">
        <v>771</v>
      </c>
      <c r="K661" s="61">
        <v>7000000</v>
      </c>
    </row>
    <row r="662" spans="2:11" x14ac:dyDescent="0.2">
      <c r="B662" s="16"/>
      <c r="C662" s="16"/>
      <c r="D662" s="16"/>
      <c r="E662" s="16"/>
      <c r="F662" s="16"/>
      <c r="G662" s="16"/>
      <c r="H662" s="62" t="s">
        <v>832</v>
      </c>
      <c r="I662" s="63"/>
      <c r="J662" s="64" t="s">
        <v>772</v>
      </c>
      <c r="K662" s="23">
        <v>7000000</v>
      </c>
    </row>
    <row r="663" spans="2:11" x14ac:dyDescent="0.2">
      <c r="B663" s="16" t="s">
        <v>1003</v>
      </c>
      <c r="C663" s="16" t="s">
        <v>1009</v>
      </c>
      <c r="D663" s="46" t="s">
        <v>1051</v>
      </c>
      <c r="E663" s="16" t="s">
        <v>1014</v>
      </c>
      <c r="F663" s="16" t="s">
        <v>1023</v>
      </c>
      <c r="G663" s="16" t="s">
        <v>1028</v>
      </c>
      <c r="H663" s="62" t="s">
        <v>833</v>
      </c>
      <c r="I663" s="63">
        <v>200</v>
      </c>
      <c r="J663" s="64" t="s">
        <v>242</v>
      </c>
      <c r="K663" s="65">
        <v>7000000</v>
      </c>
    </row>
    <row r="664" spans="2:11" x14ac:dyDescent="0.2">
      <c r="B664" s="16"/>
      <c r="C664" s="16"/>
      <c r="D664" s="16"/>
      <c r="E664" s="16"/>
      <c r="F664" s="16"/>
      <c r="G664" s="16"/>
      <c r="H664" s="62" t="s">
        <v>834</v>
      </c>
      <c r="I664" s="63"/>
      <c r="J664" s="64" t="s">
        <v>835</v>
      </c>
      <c r="K664" s="66">
        <v>0</v>
      </c>
    </row>
    <row r="665" spans="2:11" x14ac:dyDescent="0.2">
      <c r="B665" s="16"/>
      <c r="C665" s="16"/>
      <c r="D665" s="16"/>
      <c r="E665" s="16"/>
      <c r="F665" s="16"/>
      <c r="G665" s="16"/>
      <c r="H665" s="62" t="s">
        <v>836</v>
      </c>
      <c r="I665" s="63"/>
      <c r="J665" s="64" t="s">
        <v>837</v>
      </c>
      <c r="K665" s="66">
        <v>0</v>
      </c>
    </row>
    <row r="666" spans="2:11" x14ac:dyDescent="0.2">
      <c r="B666" s="16" t="s">
        <v>1003</v>
      </c>
      <c r="C666" s="16" t="s">
        <v>1009</v>
      </c>
      <c r="D666" s="46" t="s">
        <v>1051</v>
      </c>
      <c r="E666" s="16" t="s">
        <v>1014</v>
      </c>
      <c r="F666" s="16" t="s">
        <v>1023</v>
      </c>
      <c r="G666" s="16" t="s">
        <v>1035</v>
      </c>
      <c r="H666" s="62" t="s">
        <v>838</v>
      </c>
      <c r="I666" s="63">
        <v>4</v>
      </c>
      <c r="J666" s="64" t="s">
        <v>839</v>
      </c>
      <c r="K666" s="66">
        <v>0</v>
      </c>
    </row>
    <row r="667" spans="2:11" x14ac:dyDescent="0.2">
      <c r="B667" s="16"/>
      <c r="C667" s="16"/>
      <c r="D667" s="16"/>
      <c r="E667" s="16"/>
      <c r="F667" s="16"/>
      <c r="G667" s="16"/>
      <c r="H667" s="62" t="s">
        <v>840</v>
      </c>
      <c r="I667" s="63"/>
      <c r="J667" s="64" t="s">
        <v>841</v>
      </c>
      <c r="K667" s="66">
        <v>0</v>
      </c>
    </row>
    <row r="668" spans="2:11" x14ac:dyDescent="0.2">
      <c r="B668" s="16"/>
      <c r="C668" s="16"/>
      <c r="D668" s="16"/>
      <c r="E668" s="16"/>
      <c r="F668" s="16"/>
      <c r="G668" s="16"/>
      <c r="H668" s="62" t="s">
        <v>842</v>
      </c>
      <c r="I668" s="63"/>
      <c r="J668" s="64" t="s">
        <v>843</v>
      </c>
      <c r="K668" s="66">
        <v>0</v>
      </c>
    </row>
    <row r="669" spans="2:11" x14ac:dyDescent="0.2">
      <c r="B669" s="16" t="s">
        <v>1003</v>
      </c>
      <c r="C669" s="16" t="s">
        <v>1009</v>
      </c>
      <c r="D669" s="46" t="s">
        <v>1051</v>
      </c>
      <c r="E669" s="16" t="s">
        <v>1014</v>
      </c>
      <c r="F669" s="16" t="s">
        <v>1023</v>
      </c>
      <c r="G669" s="16" t="s">
        <v>1030</v>
      </c>
      <c r="H669" s="45" t="s">
        <v>844</v>
      </c>
      <c r="I669" s="67"/>
      <c r="J669" s="68" t="s">
        <v>845</v>
      </c>
      <c r="K669" s="23">
        <v>0</v>
      </c>
    </row>
    <row r="670" spans="2:11" x14ac:dyDescent="0.2">
      <c r="B670" s="16"/>
      <c r="C670" s="16"/>
      <c r="D670" s="16"/>
      <c r="E670" s="16"/>
      <c r="F670" s="16"/>
      <c r="G670" s="16"/>
      <c r="H670" s="45" t="s">
        <v>840</v>
      </c>
      <c r="I670" s="67"/>
      <c r="J670" s="68" t="s">
        <v>841</v>
      </c>
      <c r="K670" s="69">
        <v>0</v>
      </c>
    </row>
    <row r="671" spans="2:11" x14ac:dyDescent="0.2">
      <c r="B671" s="16" t="s">
        <v>1003</v>
      </c>
      <c r="C671" s="16" t="s">
        <v>1009</v>
      </c>
      <c r="D671" s="46" t="s">
        <v>1051</v>
      </c>
      <c r="E671" s="16" t="s">
        <v>1014</v>
      </c>
      <c r="F671" s="16" t="s">
        <v>1023</v>
      </c>
      <c r="G671" s="16" t="s">
        <v>1029</v>
      </c>
      <c r="H671" s="45" t="s">
        <v>842</v>
      </c>
      <c r="I671" s="67"/>
      <c r="J671" s="68" t="s">
        <v>847</v>
      </c>
      <c r="K671" s="69">
        <v>0</v>
      </c>
    </row>
    <row r="672" spans="2:11" x14ac:dyDescent="0.2">
      <c r="B672" s="16" t="s">
        <v>1003</v>
      </c>
      <c r="C672" s="16" t="s">
        <v>1009</v>
      </c>
      <c r="D672" s="46" t="s">
        <v>1051</v>
      </c>
      <c r="E672" s="16" t="s">
        <v>1014</v>
      </c>
      <c r="F672" s="16" t="s">
        <v>1023</v>
      </c>
      <c r="G672" s="16" t="s">
        <v>1036</v>
      </c>
      <c r="H672" s="45" t="s">
        <v>844</v>
      </c>
      <c r="I672" s="67"/>
      <c r="J672" s="68" t="s">
        <v>271</v>
      </c>
      <c r="K672" s="69">
        <v>0</v>
      </c>
    </row>
    <row r="673" spans="2:11" ht="15" x14ac:dyDescent="0.25">
      <c r="B673" s="16"/>
      <c r="C673" s="16"/>
      <c r="D673" s="16"/>
      <c r="E673" s="16"/>
      <c r="F673" s="16"/>
      <c r="G673" s="16"/>
      <c r="H673" s="70" t="s">
        <v>848</v>
      </c>
      <c r="I673" s="70"/>
      <c r="J673" s="70"/>
      <c r="K673" s="71">
        <v>707000000</v>
      </c>
    </row>
    <row r="674" spans="2:11" ht="15" x14ac:dyDescent="0.25">
      <c r="B674" s="16"/>
      <c r="C674" s="16"/>
      <c r="D674" s="16"/>
      <c r="E674" s="16"/>
      <c r="F674" s="16"/>
      <c r="G674" s="16"/>
      <c r="H674" s="72"/>
      <c r="I674" s="73"/>
      <c r="J674" s="70"/>
      <c r="K674" s="74"/>
    </row>
    <row r="675" spans="2:11" ht="15" x14ac:dyDescent="0.25">
      <c r="B675" s="16"/>
      <c r="C675" s="16"/>
      <c r="D675" s="16"/>
      <c r="E675" s="16"/>
      <c r="F675" s="16"/>
      <c r="G675" s="16"/>
      <c r="H675" s="75" t="s">
        <v>849</v>
      </c>
      <c r="I675" s="75"/>
      <c r="J675" s="75"/>
      <c r="K675" s="76"/>
    </row>
    <row r="676" spans="2:11" ht="15" x14ac:dyDescent="0.25">
      <c r="B676" s="16"/>
      <c r="C676" s="16"/>
      <c r="D676" s="16"/>
      <c r="E676" s="16"/>
      <c r="F676" s="16"/>
      <c r="G676" s="16"/>
      <c r="H676" s="75" t="s">
        <v>850</v>
      </c>
      <c r="I676" s="75"/>
      <c r="J676" s="75"/>
      <c r="K676" s="76"/>
    </row>
    <row r="677" spans="2:11" ht="15" x14ac:dyDescent="0.2">
      <c r="B677" s="16"/>
      <c r="C677" s="16"/>
      <c r="D677" s="16"/>
      <c r="E677" s="16"/>
      <c r="F677" s="16"/>
      <c r="G677" s="16"/>
      <c r="H677" s="55" t="s">
        <v>778</v>
      </c>
      <c r="I677" s="56"/>
      <c r="J677" s="32" t="s">
        <v>779</v>
      </c>
      <c r="K677" s="57"/>
    </row>
    <row r="678" spans="2:11" ht="15" x14ac:dyDescent="0.25">
      <c r="B678" s="16"/>
      <c r="C678" s="16"/>
      <c r="D678" s="16"/>
      <c r="E678" s="16"/>
      <c r="F678" s="16"/>
      <c r="G678" s="16"/>
      <c r="H678" s="44">
        <v>1</v>
      </c>
      <c r="I678" s="77"/>
      <c r="J678" s="78" t="s">
        <v>768</v>
      </c>
      <c r="K678" s="79"/>
    </row>
    <row r="679" spans="2:11" ht="15" x14ac:dyDescent="0.25">
      <c r="B679" s="16"/>
      <c r="C679" s="16"/>
      <c r="D679" s="16"/>
      <c r="E679" s="16"/>
      <c r="F679" s="16"/>
      <c r="G679" s="16"/>
      <c r="H679" s="44">
        <v>1.1000000000000001</v>
      </c>
      <c r="I679" s="77"/>
      <c r="J679" s="78" t="s">
        <v>769</v>
      </c>
      <c r="K679" s="79"/>
    </row>
    <row r="680" spans="2:11" ht="15" x14ac:dyDescent="0.25">
      <c r="B680" s="16"/>
      <c r="C680" s="16"/>
      <c r="D680" s="16"/>
      <c r="E680" s="16"/>
      <c r="F680" s="16"/>
      <c r="G680" s="16"/>
      <c r="H680" s="17" t="s">
        <v>810</v>
      </c>
      <c r="I680" s="77"/>
      <c r="J680" s="78" t="s">
        <v>770</v>
      </c>
      <c r="K680" s="79"/>
    </row>
    <row r="681" spans="2:11" ht="15" x14ac:dyDescent="0.25">
      <c r="B681" s="16"/>
      <c r="C681" s="16"/>
      <c r="D681" s="16"/>
      <c r="E681" s="16"/>
      <c r="F681" s="16"/>
      <c r="G681" s="16"/>
      <c r="H681" s="17" t="s">
        <v>817</v>
      </c>
      <c r="I681" s="77"/>
      <c r="J681" s="78" t="s">
        <v>818</v>
      </c>
      <c r="K681" s="79"/>
    </row>
    <row r="682" spans="2:11" ht="15" x14ac:dyDescent="0.25">
      <c r="B682" s="16"/>
      <c r="C682" s="16"/>
      <c r="D682" s="16"/>
      <c r="E682" s="16"/>
      <c r="F682" s="16"/>
      <c r="G682" s="16"/>
      <c r="H682" s="17" t="s">
        <v>819</v>
      </c>
      <c r="I682" s="77"/>
      <c r="J682" s="78" t="s">
        <v>820</v>
      </c>
      <c r="K682" s="79"/>
    </row>
    <row r="683" spans="2:11" ht="15" x14ac:dyDescent="0.25">
      <c r="B683" s="16"/>
      <c r="C683" s="16"/>
      <c r="D683" s="16"/>
      <c r="E683" s="16"/>
      <c r="F683" s="16"/>
      <c r="G683" s="16"/>
      <c r="H683" s="17" t="s">
        <v>823</v>
      </c>
      <c r="I683" s="77"/>
      <c r="J683" s="78" t="s">
        <v>851</v>
      </c>
      <c r="K683" s="79"/>
    </row>
    <row r="684" spans="2:11" x14ac:dyDescent="0.2">
      <c r="B684" s="16" t="s">
        <v>1003</v>
      </c>
      <c r="C684" s="16" t="s">
        <v>1010</v>
      </c>
      <c r="D684" s="46" t="s">
        <v>1051</v>
      </c>
      <c r="E684" s="16" t="s">
        <v>1016</v>
      </c>
      <c r="F684" s="16" t="s">
        <v>1022</v>
      </c>
      <c r="G684" s="16" t="s">
        <v>1025</v>
      </c>
      <c r="H684" s="21" t="s">
        <v>852</v>
      </c>
      <c r="I684" s="80">
        <v>12</v>
      </c>
      <c r="J684" s="81" t="s">
        <v>690</v>
      </c>
      <c r="K684" s="23"/>
    </row>
    <row r="685" spans="2:11" x14ac:dyDescent="0.2">
      <c r="B685" s="16" t="s">
        <v>1003</v>
      </c>
      <c r="C685" s="16" t="s">
        <v>1010</v>
      </c>
      <c r="D685" s="46" t="s">
        <v>1051</v>
      </c>
      <c r="E685" s="16" t="s">
        <v>1015</v>
      </c>
      <c r="F685" s="16" t="s">
        <v>1022</v>
      </c>
      <c r="G685" s="16" t="s">
        <v>1025</v>
      </c>
      <c r="H685" s="21" t="s">
        <v>853</v>
      </c>
      <c r="I685" s="80">
        <v>24</v>
      </c>
      <c r="J685" s="81" t="s">
        <v>854</v>
      </c>
      <c r="K685" s="23"/>
    </row>
    <row r="686" spans="2:11" ht="15" x14ac:dyDescent="0.25">
      <c r="B686" s="16"/>
      <c r="C686" s="16"/>
      <c r="D686" s="16"/>
      <c r="E686" s="16"/>
      <c r="F686" s="16"/>
      <c r="G686" s="16"/>
      <c r="H686" s="44">
        <v>1.2</v>
      </c>
      <c r="I686" s="77"/>
      <c r="J686" s="78" t="s">
        <v>771</v>
      </c>
      <c r="K686" s="79"/>
    </row>
    <row r="687" spans="2:11" ht="15" x14ac:dyDescent="0.25">
      <c r="B687" s="16"/>
      <c r="C687" s="16"/>
      <c r="D687" s="16"/>
      <c r="E687" s="16"/>
      <c r="F687" s="16"/>
      <c r="G687" s="16"/>
      <c r="H687" s="17" t="s">
        <v>855</v>
      </c>
      <c r="I687" s="77"/>
      <c r="J687" s="78" t="s">
        <v>856</v>
      </c>
      <c r="K687" s="79"/>
    </row>
    <row r="688" spans="2:11" ht="15" x14ac:dyDescent="0.25">
      <c r="B688" s="16"/>
      <c r="C688" s="16"/>
      <c r="D688" s="16"/>
      <c r="E688" s="16"/>
      <c r="F688" s="16"/>
      <c r="G688" s="16"/>
      <c r="H688" s="21" t="s">
        <v>857</v>
      </c>
      <c r="I688" s="80"/>
      <c r="J688" s="81" t="s">
        <v>858</v>
      </c>
      <c r="K688" s="79"/>
    </row>
    <row r="689" spans="2:11" x14ac:dyDescent="0.2">
      <c r="B689" s="16" t="s">
        <v>1003</v>
      </c>
      <c r="C689" s="16" t="s">
        <v>1010</v>
      </c>
      <c r="D689" s="46" t="s">
        <v>1051</v>
      </c>
      <c r="E689" s="16" t="s">
        <v>1016</v>
      </c>
      <c r="F689" s="16" t="s">
        <v>1023</v>
      </c>
      <c r="G689" s="16" t="s">
        <v>1025</v>
      </c>
      <c r="H689" s="21" t="s">
        <v>859</v>
      </c>
      <c r="I689" s="80">
        <v>12</v>
      </c>
      <c r="J689" s="81" t="s">
        <v>860</v>
      </c>
      <c r="K689" s="23"/>
    </row>
    <row r="690" spans="2:11" x14ac:dyDescent="0.2">
      <c r="B690" s="16" t="s">
        <v>1003</v>
      </c>
      <c r="C690" s="16" t="s">
        <v>1010</v>
      </c>
      <c r="D690" s="46" t="s">
        <v>1051</v>
      </c>
      <c r="E690" s="16" t="s">
        <v>1016</v>
      </c>
      <c r="F690" s="16" t="s">
        <v>1023</v>
      </c>
      <c r="G690" s="16" t="s">
        <v>1025</v>
      </c>
      <c r="H690" s="21" t="s">
        <v>861</v>
      </c>
      <c r="I690" s="80">
        <v>12</v>
      </c>
      <c r="J690" s="81" t="s">
        <v>862</v>
      </c>
      <c r="K690" s="23"/>
    </row>
    <row r="691" spans="2:11" x14ac:dyDescent="0.2">
      <c r="B691" s="16" t="s">
        <v>1003</v>
      </c>
      <c r="C691" s="16" t="s">
        <v>1010</v>
      </c>
      <c r="D691" s="46" t="s">
        <v>1051</v>
      </c>
      <c r="E691" s="16" t="s">
        <v>1016</v>
      </c>
      <c r="F691" s="16" t="s">
        <v>1023</v>
      </c>
      <c r="G691" s="16" t="s">
        <v>1025</v>
      </c>
      <c r="H691" s="21" t="s">
        <v>863</v>
      </c>
      <c r="I691" s="80">
        <v>12</v>
      </c>
      <c r="J691" s="81" t="s">
        <v>864</v>
      </c>
      <c r="K691" s="23"/>
    </row>
    <row r="692" spans="2:11" ht="15" x14ac:dyDescent="0.25">
      <c r="B692" s="16"/>
      <c r="C692" s="16"/>
      <c r="D692" s="16"/>
      <c r="E692" s="16"/>
      <c r="F692" s="16"/>
      <c r="G692" s="16"/>
      <c r="H692" s="17" t="s">
        <v>832</v>
      </c>
      <c r="I692" s="77"/>
      <c r="J692" s="78" t="s">
        <v>772</v>
      </c>
      <c r="K692" s="79"/>
    </row>
    <row r="693" spans="2:11" ht="15" x14ac:dyDescent="0.25">
      <c r="B693" s="16"/>
      <c r="C693" s="16"/>
      <c r="D693" s="16"/>
      <c r="E693" s="16"/>
      <c r="F693" s="16"/>
      <c r="G693" s="16"/>
      <c r="H693" s="21" t="s">
        <v>846</v>
      </c>
      <c r="I693" s="80"/>
      <c r="J693" s="81" t="s">
        <v>865</v>
      </c>
      <c r="K693" s="79"/>
    </row>
    <row r="694" spans="2:11" x14ac:dyDescent="0.2">
      <c r="B694" s="16" t="s">
        <v>1003</v>
      </c>
      <c r="C694" s="16" t="s">
        <v>1010</v>
      </c>
      <c r="D694" s="46" t="s">
        <v>1051</v>
      </c>
      <c r="E694" s="16" t="s">
        <v>1016</v>
      </c>
      <c r="F694" s="16" t="s">
        <v>1023</v>
      </c>
      <c r="G694" s="16" t="s">
        <v>1028</v>
      </c>
      <c r="H694" s="21" t="s">
        <v>866</v>
      </c>
      <c r="I694" s="80">
        <v>12</v>
      </c>
      <c r="J694" s="81" t="s">
        <v>867</v>
      </c>
      <c r="K694" s="23"/>
    </row>
    <row r="695" spans="2:11" x14ac:dyDescent="0.2">
      <c r="B695" s="16" t="s">
        <v>1003</v>
      </c>
      <c r="C695" s="16" t="s">
        <v>1010</v>
      </c>
      <c r="D695" s="46" t="s">
        <v>1051</v>
      </c>
      <c r="E695" s="16" t="s">
        <v>1016</v>
      </c>
      <c r="F695" s="16" t="s">
        <v>1023</v>
      </c>
      <c r="G695" s="16" t="s">
        <v>1028</v>
      </c>
      <c r="H695" s="21" t="s">
        <v>868</v>
      </c>
      <c r="I695" s="80">
        <v>12</v>
      </c>
      <c r="J695" s="81" t="s">
        <v>869</v>
      </c>
      <c r="K695" s="23"/>
    </row>
    <row r="696" spans="2:11" ht="15" x14ac:dyDescent="0.25">
      <c r="B696" s="16"/>
      <c r="C696" s="16"/>
      <c r="D696" s="16"/>
      <c r="E696" s="16"/>
      <c r="F696" s="16"/>
      <c r="G696" s="16"/>
      <c r="H696" s="70"/>
      <c r="I696" s="70"/>
      <c r="J696" s="70" t="s">
        <v>911</v>
      </c>
      <c r="K696" s="74"/>
    </row>
    <row r="697" spans="2:11" ht="15" x14ac:dyDescent="0.25">
      <c r="B697" s="16"/>
      <c r="C697" s="16"/>
      <c r="D697" s="16"/>
      <c r="E697" s="16"/>
      <c r="F697" s="16"/>
      <c r="G697" s="16"/>
      <c r="H697" s="72"/>
      <c r="I697" s="73"/>
      <c r="J697" s="70"/>
      <c r="K697" s="74"/>
    </row>
    <row r="698" spans="2:11" ht="15" x14ac:dyDescent="0.25">
      <c r="B698" s="16"/>
      <c r="C698" s="16"/>
      <c r="D698" s="16"/>
      <c r="E698" s="16"/>
      <c r="F698" s="16"/>
      <c r="G698" s="16"/>
      <c r="H698" s="75" t="s">
        <v>870</v>
      </c>
      <c r="I698" s="75"/>
      <c r="J698" s="75"/>
      <c r="K698" s="76"/>
    </row>
    <row r="699" spans="2:11" ht="15" x14ac:dyDescent="0.25">
      <c r="B699" s="16"/>
      <c r="C699" s="16"/>
      <c r="D699" s="16"/>
      <c r="E699" s="16"/>
      <c r="F699" s="16"/>
      <c r="G699" s="16"/>
      <c r="H699" s="75" t="s">
        <v>871</v>
      </c>
      <c r="I699" s="75"/>
      <c r="J699" s="75"/>
      <c r="K699" s="76"/>
    </row>
    <row r="700" spans="2:11" ht="15" x14ac:dyDescent="0.2">
      <c r="B700" s="16"/>
      <c r="C700" s="16"/>
      <c r="D700" s="16"/>
      <c r="E700" s="16"/>
      <c r="F700" s="16"/>
      <c r="G700" s="16"/>
      <c r="H700" s="55" t="s">
        <v>778</v>
      </c>
      <c r="I700" s="56"/>
      <c r="J700" s="32" t="s">
        <v>779</v>
      </c>
      <c r="K700" s="57" t="s">
        <v>808</v>
      </c>
    </row>
    <row r="701" spans="2:11" ht="15" x14ac:dyDescent="0.2">
      <c r="B701" s="16"/>
      <c r="C701" s="16"/>
      <c r="D701" s="16"/>
      <c r="E701" s="16"/>
      <c r="F701" s="16"/>
      <c r="G701" s="16"/>
      <c r="H701" s="44" t="s">
        <v>886</v>
      </c>
      <c r="I701" s="82" t="s">
        <v>969</v>
      </c>
      <c r="J701" s="83" t="s">
        <v>768</v>
      </c>
      <c r="K701" s="84">
        <v>2327000000</v>
      </c>
    </row>
    <row r="702" spans="2:11" ht="15" x14ac:dyDescent="0.2">
      <c r="B702" s="16"/>
      <c r="C702" s="16"/>
      <c r="D702" s="16"/>
      <c r="E702" s="16"/>
      <c r="F702" s="16"/>
      <c r="G702" s="16"/>
      <c r="H702" s="17" t="s">
        <v>809</v>
      </c>
      <c r="I702" s="82" t="s">
        <v>969</v>
      </c>
      <c r="J702" s="83" t="s">
        <v>769</v>
      </c>
      <c r="K702" s="84">
        <v>2327000000</v>
      </c>
    </row>
    <row r="703" spans="2:11" ht="15" x14ac:dyDescent="0.2">
      <c r="B703" s="16"/>
      <c r="C703" s="16"/>
      <c r="D703" s="16"/>
      <c r="E703" s="16"/>
      <c r="F703" s="16"/>
      <c r="G703" s="16"/>
      <c r="H703" s="17" t="s">
        <v>810</v>
      </c>
      <c r="I703" s="82" t="s">
        <v>969</v>
      </c>
      <c r="J703" s="83" t="s">
        <v>770</v>
      </c>
      <c r="K703" s="84">
        <v>2327000000</v>
      </c>
    </row>
    <row r="704" spans="2:11" ht="15" x14ac:dyDescent="0.2">
      <c r="B704" s="16"/>
      <c r="C704" s="16"/>
      <c r="D704" s="16"/>
      <c r="E704" s="16"/>
      <c r="F704" s="16"/>
      <c r="G704" s="16"/>
      <c r="H704" s="17" t="s">
        <v>811</v>
      </c>
      <c r="I704" s="82" t="s">
        <v>969</v>
      </c>
      <c r="J704" s="83" t="s">
        <v>812</v>
      </c>
      <c r="K704" s="84">
        <v>2327000000</v>
      </c>
    </row>
    <row r="705" spans="2:11" ht="15" x14ac:dyDescent="0.2">
      <c r="B705" s="16"/>
      <c r="C705" s="16"/>
      <c r="D705" s="16"/>
      <c r="E705" s="16"/>
      <c r="F705" s="16"/>
      <c r="G705" s="16"/>
      <c r="H705" s="17" t="s">
        <v>813</v>
      </c>
      <c r="I705" s="82" t="s">
        <v>969</v>
      </c>
      <c r="J705" s="83" t="s">
        <v>814</v>
      </c>
      <c r="K705" s="84">
        <v>2327000000</v>
      </c>
    </row>
    <row r="706" spans="2:11" x14ac:dyDescent="0.2">
      <c r="B706" s="16"/>
      <c r="C706" s="16"/>
      <c r="D706" s="16"/>
      <c r="E706" s="16"/>
      <c r="F706" s="16"/>
      <c r="G706" s="16"/>
      <c r="H706" s="21" t="s">
        <v>872</v>
      </c>
      <c r="I706" s="85" t="s">
        <v>969</v>
      </c>
      <c r="J706" s="86" t="s">
        <v>970</v>
      </c>
      <c r="K706" s="87">
        <v>2327000000</v>
      </c>
    </row>
    <row r="707" spans="2:11" x14ac:dyDescent="0.2">
      <c r="B707" s="16"/>
      <c r="C707" s="16"/>
      <c r="D707" s="16"/>
      <c r="E707" s="16"/>
      <c r="F707" s="16"/>
      <c r="G707" s="16"/>
      <c r="H707" s="21" t="s">
        <v>873</v>
      </c>
      <c r="I707" s="85" t="s">
        <v>969</v>
      </c>
      <c r="J707" s="88" t="s">
        <v>971</v>
      </c>
      <c r="K707" s="87">
        <v>2327000000</v>
      </c>
    </row>
    <row r="708" spans="2:11" ht="28.5" x14ac:dyDescent="0.2">
      <c r="B708" s="16"/>
      <c r="C708" s="16"/>
      <c r="D708" s="16"/>
      <c r="E708" s="16"/>
      <c r="F708" s="16"/>
      <c r="G708" s="16"/>
      <c r="H708" s="21" t="s">
        <v>972</v>
      </c>
      <c r="I708" s="85" t="s">
        <v>969</v>
      </c>
      <c r="J708" s="89" t="s">
        <v>973</v>
      </c>
      <c r="K708" s="87">
        <v>2327000000</v>
      </c>
    </row>
    <row r="709" spans="2:11" x14ac:dyDescent="0.2">
      <c r="B709" s="16"/>
      <c r="C709" s="16"/>
      <c r="D709" s="16"/>
      <c r="E709" s="16"/>
      <c r="F709" s="16"/>
      <c r="G709" s="16"/>
      <c r="H709" s="21" t="s">
        <v>974</v>
      </c>
      <c r="I709" s="85" t="s">
        <v>969</v>
      </c>
      <c r="J709" s="86" t="s">
        <v>975</v>
      </c>
      <c r="K709" s="23">
        <v>150000000</v>
      </c>
    </row>
    <row r="710" spans="2:11" ht="15" x14ac:dyDescent="0.2">
      <c r="B710" s="16" t="s">
        <v>1003</v>
      </c>
      <c r="C710" s="16" t="s">
        <v>1011</v>
      </c>
      <c r="D710" s="46" t="s">
        <v>1051</v>
      </c>
      <c r="E710" s="16" t="s">
        <v>1015</v>
      </c>
      <c r="F710" s="16" t="s">
        <v>1022</v>
      </c>
      <c r="G710" s="16" t="s">
        <v>1025</v>
      </c>
      <c r="H710" s="17" t="s">
        <v>976</v>
      </c>
      <c r="I710" s="82">
        <v>199</v>
      </c>
      <c r="J710" s="83" t="s">
        <v>977</v>
      </c>
      <c r="K710" s="90">
        <v>150000000</v>
      </c>
    </row>
    <row r="711" spans="2:11" ht="15" x14ac:dyDescent="0.2">
      <c r="B711" s="16"/>
      <c r="C711" s="16"/>
      <c r="D711" s="16"/>
      <c r="E711" s="16"/>
      <c r="F711" s="16"/>
      <c r="G711" s="16"/>
      <c r="H711" s="17" t="s">
        <v>874</v>
      </c>
      <c r="I711" s="82" t="s">
        <v>969</v>
      </c>
      <c r="J711" s="83" t="s">
        <v>978</v>
      </c>
      <c r="K711" s="90">
        <v>2177000000</v>
      </c>
    </row>
    <row r="712" spans="2:11" x14ac:dyDescent="0.2">
      <c r="B712" s="16" t="s">
        <v>1003</v>
      </c>
      <c r="C712" s="16" t="s">
        <v>1011</v>
      </c>
      <c r="D712" s="46" t="s">
        <v>1051</v>
      </c>
      <c r="E712" s="16" t="s">
        <v>1015</v>
      </c>
      <c r="F712" s="16" t="s">
        <v>1022</v>
      </c>
      <c r="G712" s="16" t="s">
        <v>1025</v>
      </c>
      <c r="H712" s="21" t="s">
        <v>875</v>
      </c>
      <c r="I712" s="85" t="s">
        <v>979</v>
      </c>
      <c r="J712" s="86" t="s">
        <v>876</v>
      </c>
      <c r="K712" s="90">
        <v>2177000000</v>
      </c>
    </row>
    <row r="713" spans="2:11" x14ac:dyDescent="0.2">
      <c r="B713" s="16"/>
      <c r="C713" s="16"/>
      <c r="D713" s="16"/>
      <c r="E713" s="16"/>
      <c r="F713" s="16"/>
      <c r="G713" s="16"/>
      <c r="H713" s="21" t="s">
        <v>817</v>
      </c>
      <c r="I713" s="48" t="s">
        <v>969</v>
      </c>
      <c r="J713" s="86" t="s">
        <v>818</v>
      </c>
      <c r="K713" s="23">
        <v>0</v>
      </c>
    </row>
    <row r="714" spans="2:11" x14ac:dyDescent="0.2">
      <c r="B714" s="16"/>
      <c r="C714" s="16"/>
      <c r="D714" s="16"/>
      <c r="E714" s="16"/>
      <c r="F714" s="16"/>
      <c r="G714" s="16"/>
      <c r="H714" s="21" t="s">
        <v>819</v>
      </c>
      <c r="I714" s="48" t="s">
        <v>969</v>
      </c>
      <c r="J714" s="86" t="s">
        <v>820</v>
      </c>
      <c r="K714" s="23">
        <v>0</v>
      </c>
    </row>
    <row r="715" spans="2:11" ht="15" x14ac:dyDescent="0.2">
      <c r="B715" s="16"/>
      <c r="C715" s="16"/>
      <c r="D715" s="16"/>
      <c r="E715" s="16"/>
      <c r="F715" s="16"/>
      <c r="G715" s="16"/>
      <c r="H715" s="17" t="s">
        <v>823</v>
      </c>
      <c r="I715" s="82" t="s">
        <v>969</v>
      </c>
      <c r="J715" s="83" t="s">
        <v>851</v>
      </c>
      <c r="K715" s="91">
        <v>0</v>
      </c>
    </row>
    <row r="716" spans="2:11" ht="15" x14ac:dyDescent="0.2">
      <c r="B716" s="16" t="s">
        <v>1003</v>
      </c>
      <c r="C716" s="16" t="s">
        <v>1011</v>
      </c>
      <c r="D716" s="46" t="s">
        <v>1051</v>
      </c>
      <c r="E716" s="16" t="s">
        <v>1016</v>
      </c>
      <c r="F716" s="16" t="s">
        <v>1022</v>
      </c>
      <c r="G716" s="16" t="s">
        <v>1025</v>
      </c>
      <c r="H716" s="17" t="s">
        <v>852</v>
      </c>
      <c r="I716" s="82" t="s">
        <v>877</v>
      </c>
      <c r="J716" s="83" t="s">
        <v>980</v>
      </c>
      <c r="K716" s="90">
        <v>0</v>
      </c>
    </row>
    <row r="717" spans="2:11" x14ac:dyDescent="0.2">
      <c r="B717" s="16" t="s">
        <v>1003</v>
      </c>
      <c r="C717" s="16" t="s">
        <v>1011</v>
      </c>
      <c r="D717" s="46" t="s">
        <v>1051</v>
      </c>
      <c r="E717" s="16" t="s">
        <v>1014</v>
      </c>
      <c r="F717" s="16" t="s">
        <v>1022</v>
      </c>
      <c r="G717" s="16" t="s">
        <v>1025</v>
      </c>
      <c r="H717" s="21" t="s">
        <v>878</v>
      </c>
      <c r="I717" s="85" t="s">
        <v>879</v>
      </c>
      <c r="J717" s="92" t="s">
        <v>981</v>
      </c>
      <c r="K717" s="90">
        <v>0</v>
      </c>
    </row>
    <row r="718" spans="2:11" ht="15" x14ac:dyDescent="0.25">
      <c r="B718" s="16"/>
      <c r="C718" s="16"/>
      <c r="D718" s="16"/>
      <c r="E718" s="16"/>
      <c r="F718" s="16"/>
      <c r="G718" s="16"/>
      <c r="H718" s="93" t="s">
        <v>883</v>
      </c>
      <c r="I718" s="93"/>
      <c r="J718" s="93"/>
      <c r="K718" s="94">
        <v>2327000000</v>
      </c>
    </row>
    <row r="719" spans="2:11" x14ac:dyDescent="0.2">
      <c r="B719" s="16"/>
      <c r="C719" s="16"/>
      <c r="D719" s="16"/>
      <c r="E719" s="16"/>
      <c r="F719" s="16"/>
      <c r="G719" s="16"/>
      <c r="H719" s="45"/>
      <c r="I719" s="67"/>
      <c r="J719" s="68"/>
      <c r="K719" s="95"/>
    </row>
    <row r="720" spans="2:11" ht="15" x14ac:dyDescent="0.25">
      <c r="B720" s="16"/>
      <c r="C720" s="16"/>
      <c r="D720" s="16"/>
      <c r="E720" s="16"/>
      <c r="F720" s="16"/>
      <c r="G720" s="16"/>
      <c r="H720" s="75" t="s">
        <v>884</v>
      </c>
      <c r="I720" s="75"/>
      <c r="J720" s="75"/>
      <c r="K720" s="76"/>
    </row>
    <row r="721" spans="2:11" ht="15" x14ac:dyDescent="0.25">
      <c r="B721" s="16"/>
      <c r="C721" s="16"/>
      <c r="D721" s="16"/>
      <c r="E721" s="16"/>
      <c r="F721" s="16"/>
      <c r="G721" s="16"/>
      <c r="H721" s="75" t="s">
        <v>885</v>
      </c>
      <c r="I721" s="75"/>
      <c r="J721" s="75"/>
      <c r="K721" s="76"/>
    </row>
    <row r="722" spans="2:11" ht="15" x14ac:dyDescent="0.2">
      <c r="B722" s="16"/>
      <c r="C722" s="16"/>
      <c r="D722" s="16"/>
      <c r="E722" s="16"/>
      <c r="F722" s="16"/>
      <c r="G722" s="16"/>
      <c r="H722" s="55" t="s">
        <v>778</v>
      </c>
      <c r="I722" s="56"/>
      <c r="J722" s="32" t="s">
        <v>779</v>
      </c>
      <c r="K722" s="57"/>
    </row>
    <row r="723" spans="2:11" ht="15" x14ac:dyDescent="0.25">
      <c r="B723" s="16"/>
      <c r="C723" s="16"/>
      <c r="D723" s="16"/>
      <c r="E723" s="16"/>
      <c r="F723" s="16"/>
      <c r="G723" s="16"/>
      <c r="H723" s="96" t="s">
        <v>886</v>
      </c>
      <c r="I723" s="97"/>
      <c r="J723" s="98" t="s">
        <v>768</v>
      </c>
      <c r="K723" s="99">
        <v>9955331400</v>
      </c>
    </row>
    <row r="724" spans="2:11" ht="15" x14ac:dyDescent="0.25">
      <c r="B724" s="16"/>
      <c r="C724" s="16"/>
      <c r="D724" s="16"/>
      <c r="E724" s="16"/>
      <c r="F724" s="16"/>
      <c r="G724" s="16"/>
      <c r="H724" s="96" t="s">
        <v>809</v>
      </c>
      <c r="I724" s="97"/>
      <c r="J724" s="98" t="s">
        <v>769</v>
      </c>
      <c r="K724" s="99">
        <v>9937331400</v>
      </c>
    </row>
    <row r="725" spans="2:11" ht="15" x14ac:dyDescent="0.25">
      <c r="B725" s="16"/>
      <c r="C725" s="16"/>
      <c r="D725" s="16"/>
      <c r="E725" s="16"/>
      <c r="F725" s="16"/>
      <c r="G725" s="16"/>
      <c r="H725" s="96" t="s">
        <v>810</v>
      </c>
      <c r="I725" s="97"/>
      <c r="J725" s="98" t="s">
        <v>770</v>
      </c>
      <c r="K725" s="99">
        <v>9937331400</v>
      </c>
    </row>
    <row r="726" spans="2:11" ht="15" x14ac:dyDescent="0.25">
      <c r="B726" s="16"/>
      <c r="C726" s="16"/>
      <c r="D726" s="16"/>
      <c r="E726" s="16"/>
      <c r="F726" s="16"/>
      <c r="G726" s="16"/>
      <c r="H726" s="96" t="s">
        <v>887</v>
      </c>
      <c r="I726" s="97"/>
      <c r="J726" s="98" t="s">
        <v>888</v>
      </c>
      <c r="K726" s="99">
        <v>8957331400</v>
      </c>
    </row>
    <row r="727" spans="2:11" ht="15" x14ac:dyDescent="0.25">
      <c r="B727" s="16"/>
      <c r="C727" s="16"/>
      <c r="D727" s="16"/>
      <c r="E727" s="16"/>
      <c r="F727" s="16"/>
      <c r="G727" s="16"/>
      <c r="H727" s="96" t="s">
        <v>889</v>
      </c>
      <c r="I727" s="97"/>
      <c r="J727" s="98" t="s">
        <v>890</v>
      </c>
      <c r="K727" s="99">
        <v>8957331400</v>
      </c>
    </row>
    <row r="728" spans="2:11" x14ac:dyDescent="0.2">
      <c r="B728" s="16" t="s">
        <v>1003</v>
      </c>
      <c r="C728" s="16" t="s">
        <v>1037</v>
      </c>
      <c r="D728" s="46" t="s">
        <v>1051</v>
      </c>
      <c r="E728" s="16" t="s">
        <v>1015</v>
      </c>
      <c r="F728" s="16" t="s">
        <v>1022</v>
      </c>
      <c r="G728" s="16" t="s">
        <v>1025</v>
      </c>
      <c r="H728" s="100" t="s">
        <v>891</v>
      </c>
      <c r="I728" s="97">
        <v>300</v>
      </c>
      <c r="J728" s="145" t="s">
        <v>892</v>
      </c>
      <c r="K728" s="146">
        <v>465571200</v>
      </c>
    </row>
    <row r="729" spans="2:11" x14ac:dyDescent="0.2">
      <c r="B729" s="16" t="s">
        <v>1003</v>
      </c>
      <c r="C729" s="16" t="s">
        <v>1037</v>
      </c>
      <c r="D729" s="46" t="s">
        <v>1051</v>
      </c>
      <c r="E729" s="16" t="s">
        <v>1015</v>
      </c>
      <c r="F729" s="16" t="s">
        <v>1022</v>
      </c>
      <c r="G729" s="16" t="s">
        <v>1025</v>
      </c>
      <c r="H729" s="100" t="s">
        <v>893</v>
      </c>
      <c r="I729" s="97">
        <v>300</v>
      </c>
      <c r="J729" s="101" t="s">
        <v>894</v>
      </c>
      <c r="K729" s="102">
        <v>147426000</v>
      </c>
    </row>
    <row r="730" spans="2:11" x14ac:dyDescent="0.2">
      <c r="B730" s="16" t="s">
        <v>1003</v>
      </c>
      <c r="C730" s="16" t="s">
        <v>1037</v>
      </c>
      <c r="D730" s="46" t="s">
        <v>1051</v>
      </c>
      <c r="E730" s="16" t="s">
        <v>1015</v>
      </c>
      <c r="F730" s="16" t="s">
        <v>1022</v>
      </c>
      <c r="G730" s="16" t="s">
        <v>1025</v>
      </c>
      <c r="H730" s="100" t="s">
        <v>895</v>
      </c>
      <c r="I730" s="97">
        <v>300</v>
      </c>
      <c r="J730" s="101" t="s">
        <v>896</v>
      </c>
      <c r="K730" s="102">
        <v>833166600</v>
      </c>
    </row>
    <row r="731" spans="2:11" x14ac:dyDescent="0.2">
      <c r="B731" s="16" t="s">
        <v>1003</v>
      </c>
      <c r="C731" s="16" t="s">
        <v>1037</v>
      </c>
      <c r="D731" s="46" t="s">
        <v>1051</v>
      </c>
      <c r="E731" s="16" t="s">
        <v>1015</v>
      </c>
      <c r="F731" s="16" t="s">
        <v>1022</v>
      </c>
      <c r="G731" s="16" t="s">
        <v>1025</v>
      </c>
      <c r="H731" s="100" t="s">
        <v>897</v>
      </c>
      <c r="I731" s="97">
        <v>300</v>
      </c>
      <c r="J731" s="101" t="s">
        <v>898</v>
      </c>
      <c r="K731" s="102">
        <v>646526000</v>
      </c>
    </row>
    <row r="732" spans="2:11" x14ac:dyDescent="0.2">
      <c r="B732" s="16" t="s">
        <v>1003</v>
      </c>
      <c r="C732" s="16" t="s">
        <v>1037</v>
      </c>
      <c r="D732" s="46" t="s">
        <v>1051</v>
      </c>
      <c r="E732" s="16" t="s">
        <v>1015</v>
      </c>
      <c r="F732" s="16" t="s">
        <v>1022</v>
      </c>
      <c r="G732" s="16" t="s">
        <v>1025</v>
      </c>
      <c r="H732" s="100" t="s">
        <v>899</v>
      </c>
      <c r="I732" s="97">
        <v>300</v>
      </c>
      <c r="J732" s="101" t="s">
        <v>900</v>
      </c>
      <c r="K732" s="102">
        <v>83535300</v>
      </c>
    </row>
    <row r="733" spans="2:11" x14ac:dyDescent="0.2">
      <c r="B733" s="16" t="s">
        <v>1003</v>
      </c>
      <c r="C733" s="16" t="s">
        <v>1037</v>
      </c>
      <c r="D733" s="46" t="s">
        <v>1051</v>
      </c>
      <c r="E733" s="16" t="s">
        <v>1015</v>
      </c>
      <c r="F733" s="16" t="s">
        <v>1022</v>
      </c>
      <c r="G733" s="16" t="s">
        <v>1025</v>
      </c>
      <c r="H733" s="100" t="s">
        <v>901</v>
      </c>
      <c r="I733" s="97">
        <v>300</v>
      </c>
      <c r="J733" s="101" t="s">
        <v>902</v>
      </c>
      <c r="K733" s="102">
        <v>2762000</v>
      </c>
    </row>
    <row r="734" spans="2:11" x14ac:dyDescent="0.2">
      <c r="B734" s="16" t="s">
        <v>1003</v>
      </c>
      <c r="C734" s="16" t="s">
        <v>1037</v>
      </c>
      <c r="D734" s="46" t="s">
        <v>1051</v>
      </c>
      <c r="E734" s="16" t="s">
        <v>1015</v>
      </c>
      <c r="F734" s="16" t="s">
        <v>1022</v>
      </c>
      <c r="G734" s="16" t="s">
        <v>1025</v>
      </c>
      <c r="H734" s="100" t="s">
        <v>903</v>
      </c>
      <c r="I734" s="97">
        <v>300</v>
      </c>
      <c r="J734" s="101" t="s">
        <v>904</v>
      </c>
      <c r="K734" s="102">
        <v>6778344300</v>
      </c>
    </row>
    <row r="735" spans="2:11" ht="15" x14ac:dyDescent="0.25">
      <c r="B735" s="16"/>
      <c r="C735" s="16"/>
      <c r="D735" s="16"/>
      <c r="E735" s="16"/>
      <c r="F735" s="16"/>
      <c r="G735" s="16"/>
      <c r="H735" s="96" t="s">
        <v>905</v>
      </c>
      <c r="I735" s="103"/>
      <c r="J735" s="104" t="s">
        <v>906</v>
      </c>
      <c r="K735" s="105">
        <v>980000000</v>
      </c>
    </row>
    <row r="736" spans="2:11" ht="15" x14ac:dyDescent="0.25">
      <c r="B736" s="16"/>
      <c r="C736" s="16"/>
      <c r="D736" s="16"/>
      <c r="E736" s="16"/>
      <c r="F736" s="16"/>
      <c r="G736" s="16"/>
      <c r="H736" s="96" t="s">
        <v>907</v>
      </c>
      <c r="I736" s="103"/>
      <c r="J736" s="104" t="s">
        <v>908</v>
      </c>
      <c r="K736" s="105">
        <v>980000000</v>
      </c>
    </row>
    <row r="737" spans="2:11" x14ac:dyDescent="0.2">
      <c r="B737" s="16" t="s">
        <v>1003</v>
      </c>
      <c r="C737" s="16" t="s">
        <v>1037</v>
      </c>
      <c r="D737" s="46" t="s">
        <v>1051</v>
      </c>
      <c r="E737" s="16" t="s">
        <v>1015</v>
      </c>
      <c r="F737" s="16" t="s">
        <v>1022</v>
      </c>
      <c r="G737" s="16" t="s">
        <v>1025</v>
      </c>
      <c r="H737" s="100" t="s">
        <v>909</v>
      </c>
      <c r="I737" s="97">
        <v>300</v>
      </c>
      <c r="J737" s="101" t="s">
        <v>910</v>
      </c>
      <c r="K737" s="102">
        <v>980000000</v>
      </c>
    </row>
    <row r="738" spans="2:11" ht="15" x14ac:dyDescent="0.25">
      <c r="B738" s="16"/>
      <c r="C738" s="16"/>
      <c r="D738" s="16"/>
      <c r="E738" s="16"/>
      <c r="F738" s="16"/>
      <c r="G738" s="16"/>
      <c r="H738" s="96" t="s">
        <v>831</v>
      </c>
      <c r="I738" s="103"/>
      <c r="J738" s="104" t="s">
        <v>771</v>
      </c>
      <c r="K738" s="105">
        <v>18000000</v>
      </c>
    </row>
    <row r="739" spans="2:11" ht="15" x14ac:dyDescent="0.25">
      <c r="B739" s="16"/>
      <c r="C739" s="16"/>
      <c r="D739" s="16"/>
      <c r="E739" s="16"/>
      <c r="F739" s="16"/>
      <c r="G739" s="16"/>
      <c r="H739" s="96" t="s">
        <v>832</v>
      </c>
      <c r="I739" s="103"/>
      <c r="J739" s="104" t="s">
        <v>932</v>
      </c>
      <c r="K739" s="105">
        <v>18000000</v>
      </c>
    </row>
    <row r="740" spans="2:11" x14ac:dyDescent="0.2">
      <c r="B740" s="16" t="s">
        <v>1003</v>
      </c>
      <c r="C740" s="16" t="s">
        <v>1037</v>
      </c>
      <c r="D740" s="46" t="s">
        <v>1051</v>
      </c>
      <c r="E740" s="16" t="s">
        <v>1015</v>
      </c>
      <c r="F740" s="16" t="s">
        <v>1023</v>
      </c>
      <c r="G740" s="16" t="s">
        <v>1028</v>
      </c>
      <c r="H740" s="100" t="s">
        <v>846</v>
      </c>
      <c r="I740" s="97">
        <v>300</v>
      </c>
      <c r="J740" s="101" t="s">
        <v>242</v>
      </c>
      <c r="K740" s="102">
        <v>18000000</v>
      </c>
    </row>
    <row r="741" spans="2:11" ht="15" x14ac:dyDescent="0.25">
      <c r="B741" s="16"/>
      <c r="C741" s="16"/>
      <c r="D741" s="16"/>
      <c r="E741" s="16"/>
      <c r="F741" s="16"/>
      <c r="G741" s="16"/>
      <c r="H741" s="106" t="s">
        <v>911</v>
      </c>
      <c r="I741" s="106"/>
      <c r="J741" s="106"/>
      <c r="K741" s="79">
        <v>9955331400</v>
      </c>
    </row>
    <row r="742" spans="2:11" ht="15" x14ac:dyDescent="0.25">
      <c r="B742" s="16"/>
      <c r="C742" s="16"/>
      <c r="D742" s="16"/>
      <c r="E742" s="16"/>
      <c r="F742" s="16"/>
      <c r="G742" s="16"/>
      <c r="H742" s="45"/>
      <c r="I742" s="67"/>
      <c r="J742" s="107"/>
      <c r="K742" s="79"/>
    </row>
    <row r="743" spans="2:11" ht="15" x14ac:dyDescent="0.25">
      <c r="B743" s="16"/>
      <c r="C743" s="16"/>
      <c r="D743" s="16"/>
      <c r="E743" s="16"/>
      <c r="F743" s="16"/>
      <c r="G743" s="16"/>
      <c r="H743" s="75" t="s">
        <v>912</v>
      </c>
      <c r="I743" s="75"/>
      <c r="J743" s="75"/>
      <c r="K743" s="76"/>
    </row>
    <row r="744" spans="2:11" ht="15" x14ac:dyDescent="0.25">
      <c r="B744" s="16"/>
      <c r="C744" s="16"/>
      <c r="D744" s="16"/>
      <c r="E744" s="16"/>
      <c r="F744" s="16"/>
      <c r="G744" s="16"/>
      <c r="H744" s="75" t="s">
        <v>913</v>
      </c>
      <c r="I744" s="75"/>
      <c r="J744" s="75"/>
      <c r="K744" s="76"/>
    </row>
    <row r="745" spans="2:11" ht="15" x14ac:dyDescent="0.2">
      <c r="B745" s="16"/>
      <c r="C745" s="16"/>
      <c r="D745" s="16"/>
      <c r="E745" s="16"/>
      <c r="F745" s="16"/>
      <c r="G745" s="16"/>
      <c r="H745" s="55" t="s">
        <v>778</v>
      </c>
      <c r="I745" s="56"/>
      <c r="J745" s="32" t="s">
        <v>779</v>
      </c>
      <c r="K745" s="57"/>
    </row>
    <row r="746" spans="2:11" ht="15" x14ac:dyDescent="0.25">
      <c r="B746" s="16"/>
      <c r="C746" s="16"/>
      <c r="D746" s="16"/>
      <c r="E746" s="16"/>
      <c r="F746" s="16"/>
      <c r="G746" s="16"/>
      <c r="H746" s="108">
        <v>1</v>
      </c>
      <c r="I746" s="67"/>
      <c r="J746" s="107" t="s">
        <v>984</v>
      </c>
      <c r="K746" s="79">
        <f>+K747+K752</f>
        <v>4006372500</v>
      </c>
    </row>
    <row r="747" spans="2:11" ht="15" x14ac:dyDescent="0.25">
      <c r="B747" s="16"/>
      <c r="C747" s="16"/>
      <c r="D747" s="16"/>
      <c r="E747" s="16"/>
      <c r="F747" s="16"/>
      <c r="G747" s="16"/>
      <c r="H747" s="108" t="s">
        <v>809</v>
      </c>
      <c r="I747" s="67"/>
      <c r="J747" s="107" t="s">
        <v>769</v>
      </c>
      <c r="K747" s="79">
        <f>+K748</f>
        <v>4006172500</v>
      </c>
    </row>
    <row r="748" spans="2:11" ht="15" x14ac:dyDescent="0.25">
      <c r="B748" s="16"/>
      <c r="C748" s="16"/>
      <c r="D748" s="16"/>
      <c r="E748" s="16"/>
      <c r="F748" s="16"/>
      <c r="G748" s="16"/>
      <c r="H748" s="108" t="s">
        <v>915</v>
      </c>
      <c r="I748" s="67"/>
      <c r="J748" s="107" t="s">
        <v>916</v>
      </c>
      <c r="K748" s="79">
        <f>+K749</f>
        <v>4006172500</v>
      </c>
    </row>
    <row r="749" spans="2:11" ht="15" x14ac:dyDescent="0.25">
      <c r="B749" s="16"/>
      <c r="C749" s="16"/>
      <c r="D749" s="16"/>
      <c r="E749" s="16"/>
      <c r="F749" s="16"/>
      <c r="G749" s="16"/>
      <c r="H749" s="108" t="s">
        <v>811</v>
      </c>
      <c r="I749" s="67"/>
      <c r="J749" s="107" t="s">
        <v>917</v>
      </c>
      <c r="K749" s="79">
        <f>+K750</f>
        <v>4006172500</v>
      </c>
    </row>
    <row r="750" spans="2:11" ht="15" x14ac:dyDescent="0.25">
      <c r="B750" s="16"/>
      <c r="C750" s="16"/>
      <c r="D750" s="16"/>
      <c r="E750" s="16"/>
      <c r="F750" s="16"/>
      <c r="G750" s="16"/>
      <c r="H750" s="108" t="s">
        <v>918</v>
      </c>
      <c r="I750" s="67"/>
      <c r="J750" s="107" t="s">
        <v>985</v>
      </c>
      <c r="K750" s="79">
        <f>+K751</f>
        <v>4006172500</v>
      </c>
    </row>
    <row r="751" spans="2:11" ht="15" x14ac:dyDescent="0.25">
      <c r="B751" s="16" t="s">
        <v>1003</v>
      </c>
      <c r="C751" s="16" t="s">
        <v>1038</v>
      </c>
      <c r="D751" s="46" t="s">
        <v>1051</v>
      </c>
      <c r="E751" s="16" t="s">
        <v>1015</v>
      </c>
      <c r="F751" s="16" t="s">
        <v>1022</v>
      </c>
      <c r="G751" s="16" t="s">
        <v>1025</v>
      </c>
      <c r="H751" s="108" t="s">
        <v>919</v>
      </c>
      <c r="I751" s="67">
        <v>400</v>
      </c>
      <c r="J751" s="107" t="s">
        <v>986</v>
      </c>
      <c r="K751" s="79">
        <v>4006172500</v>
      </c>
    </row>
    <row r="752" spans="2:11" x14ac:dyDescent="0.2">
      <c r="B752" s="16"/>
      <c r="C752" s="16"/>
      <c r="D752" s="16"/>
      <c r="E752" s="16"/>
      <c r="F752" s="16"/>
      <c r="G752" s="16"/>
      <c r="H752" s="109" t="s">
        <v>831</v>
      </c>
      <c r="I752" s="67"/>
      <c r="J752" s="68" t="s">
        <v>771</v>
      </c>
      <c r="K752" s="95">
        <v>200000</v>
      </c>
    </row>
    <row r="753" spans="2:11" x14ac:dyDescent="0.2">
      <c r="B753" s="16"/>
      <c r="C753" s="16"/>
      <c r="D753" s="16"/>
      <c r="E753" s="16"/>
      <c r="F753" s="16"/>
      <c r="G753" s="16"/>
      <c r="H753" s="109" t="s">
        <v>855</v>
      </c>
      <c r="I753" s="67"/>
      <c r="J753" s="68" t="s">
        <v>920</v>
      </c>
      <c r="K753" s="95">
        <v>0</v>
      </c>
    </row>
    <row r="754" spans="2:11" x14ac:dyDescent="0.2">
      <c r="B754" s="16" t="s">
        <v>1003</v>
      </c>
      <c r="C754" s="16" t="s">
        <v>1038</v>
      </c>
      <c r="D754" s="46" t="s">
        <v>1051</v>
      </c>
      <c r="E754" s="16" t="s">
        <v>1015</v>
      </c>
      <c r="F754" s="16" t="s">
        <v>1023</v>
      </c>
      <c r="G754" s="16" t="s">
        <v>1026</v>
      </c>
      <c r="H754" s="109" t="s">
        <v>857</v>
      </c>
      <c r="I754" s="67">
        <v>400</v>
      </c>
      <c r="J754" s="68" t="s">
        <v>921</v>
      </c>
      <c r="K754" s="95">
        <v>0</v>
      </c>
    </row>
    <row r="755" spans="2:11" x14ac:dyDescent="0.2">
      <c r="B755" s="16"/>
      <c r="C755" s="16"/>
      <c r="D755" s="16"/>
      <c r="E755" s="16"/>
      <c r="F755" s="16"/>
      <c r="G755" s="16"/>
      <c r="H755" s="109" t="s">
        <v>832</v>
      </c>
      <c r="I755" s="67"/>
      <c r="J755" s="68" t="s">
        <v>772</v>
      </c>
      <c r="K755" s="95">
        <v>200000</v>
      </c>
    </row>
    <row r="756" spans="2:11" x14ac:dyDescent="0.2">
      <c r="B756" s="16" t="s">
        <v>1003</v>
      </c>
      <c r="C756" s="16" t="s">
        <v>1038</v>
      </c>
      <c r="D756" s="46" t="s">
        <v>1051</v>
      </c>
      <c r="E756" s="16" t="s">
        <v>1015</v>
      </c>
      <c r="F756" s="16" t="s">
        <v>1023</v>
      </c>
      <c r="G756" s="16" t="s">
        <v>1028</v>
      </c>
      <c r="H756" s="109" t="s">
        <v>846</v>
      </c>
      <c r="I756" s="67">
        <v>400</v>
      </c>
      <c r="J756" s="68" t="s">
        <v>242</v>
      </c>
      <c r="K756" s="95">
        <v>200000</v>
      </c>
    </row>
    <row r="757" spans="2:11" ht="15" x14ac:dyDescent="0.25">
      <c r="B757" s="16"/>
      <c r="C757" s="16"/>
      <c r="D757" s="16"/>
      <c r="E757" s="16"/>
      <c r="F757" s="16"/>
      <c r="G757" s="16"/>
      <c r="H757" s="106" t="s">
        <v>922</v>
      </c>
      <c r="I757" s="106"/>
      <c r="J757" s="106"/>
      <c r="K757" s="79">
        <f>+K746</f>
        <v>4006372500</v>
      </c>
    </row>
    <row r="758" spans="2:11" ht="15" x14ac:dyDescent="0.25">
      <c r="B758" s="16"/>
      <c r="C758" s="16"/>
      <c r="D758" s="16"/>
      <c r="E758" s="16"/>
      <c r="F758" s="16"/>
      <c r="G758" s="16"/>
      <c r="H758" s="45"/>
      <c r="I758" s="67"/>
      <c r="J758" s="107"/>
      <c r="K758" s="79"/>
    </row>
    <row r="759" spans="2:11" ht="15" x14ac:dyDescent="0.25">
      <c r="B759" s="16"/>
      <c r="C759" s="16"/>
      <c r="D759" s="16"/>
      <c r="E759" s="16"/>
      <c r="F759" s="16"/>
      <c r="G759" s="16"/>
      <c r="H759" s="75" t="s">
        <v>923</v>
      </c>
      <c r="I759" s="75"/>
      <c r="J759" s="75"/>
      <c r="K759" s="76"/>
    </row>
    <row r="760" spans="2:11" ht="15" x14ac:dyDescent="0.25">
      <c r="B760" s="16"/>
      <c r="C760" s="16"/>
      <c r="D760" s="16"/>
      <c r="E760" s="16"/>
      <c r="F760" s="16"/>
      <c r="G760" s="16"/>
      <c r="H760" s="75" t="s">
        <v>924</v>
      </c>
      <c r="I760" s="75"/>
      <c r="J760" s="75"/>
      <c r="K760" s="76"/>
    </row>
    <row r="761" spans="2:11" ht="15" x14ac:dyDescent="0.2">
      <c r="B761" s="16"/>
      <c r="C761" s="16"/>
      <c r="D761" s="16"/>
      <c r="E761" s="16"/>
      <c r="F761" s="16"/>
      <c r="G761" s="16"/>
      <c r="H761" s="55" t="s">
        <v>778</v>
      </c>
      <c r="I761" s="56"/>
      <c r="J761" s="32" t="s">
        <v>779</v>
      </c>
      <c r="K761" s="57"/>
    </row>
    <row r="762" spans="2:11" ht="15" x14ac:dyDescent="0.25">
      <c r="B762" s="16"/>
      <c r="C762" s="16"/>
      <c r="D762" s="16"/>
      <c r="E762" s="16"/>
      <c r="F762" s="16"/>
      <c r="G762" s="16"/>
      <c r="H762" s="110" t="s">
        <v>886</v>
      </c>
      <c r="I762" s="67"/>
      <c r="J762" s="111" t="s">
        <v>768</v>
      </c>
      <c r="K762" s="112">
        <v>0</v>
      </c>
    </row>
    <row r="763" spans="2:11" ht="15" x14ac:dyDescent="0.25">
      <c r="B763" s="16"/>
      <c r="C763" s="16"/>
      <c r="D763" s="16"/>
      <c r="E763" s="16"/>
      <c r="F763" s="16"/>
      <c r="G763" s="16"/>
      <c r="H763" s="110" t="s">
        <v>809</v>
      </c>
      <c r="I763" s="67"/>
      <c r="J763" s="111" t="s">
        <v>3</v>
      </c>
      <c r="K763" s="112">
        <v>0</v>
      </c>
    </row>
    <row r="764" spans="2:11" ht="15" x14ac:dyDescent="0.25">
      <c r="B764" s="16"/>
      <c r="C764" s="16"/>
      <c r="D764" s="16"/>
      <c r="E764" s="16"/>
      <c r="F764" s="16"/>
      <c r="G764" s="16"/>
      <c r="H764" s="110" t="s">
        <v>810</v>
      </c>
      <c r="I764" s="67"/>
      <c r="J764" s="111" t="s">
        <v>289</v>
      </c>
      <c r="K764" s="112">
        <v>0</v>
      </c>
    </row>
    <row r="765" spans="2:11" x14ac:dyDescent="0.2">
      <c r="B765" s="16"/>
      <c r="C765" s="16"/>
      <c r="D765" s="16"/>
      <c r="E765" s="16"/>
      <c r="F765" s="16"/>
      <c r="G765" s="16"/>
      <c r="H765" s="113" t="s">
        <v>811</v>
      </c>
      <c r="I765" s="67"/>
      <c r="J765" s="114" t="s">
        <v>112</v>
      </c>
      <c r="K765" s="112">
        <v>0</v>
      </c>
    </row>
    <row r="766" spans="2:11" x14ac:dyDescent="0.2">
      <c r="B766" s="16"/>
      <c r="C766" s="16"/>
      <c r="D766" s="16"/>
      <c r="E766" s="16"/>
      <c r="F766" s="16"/>
      <c r="G766" s="16"/>
      <c r="H766" s="113" t="s">
        <v>813</v>
      </c>
      <c r="I766" s="67"/>
      <c r="J766" s="114" t="s">
        <v>114</v>
      </c>
      <c r="K766" s="112">
        <v>0</v>
      </c>
    </row>
    <row r="767" spans="2:11" ht="28.5" x14ac:dyDescent="0.2">
      <c r="B767" s="16" t="s">
        <v>1003</v>
      </c>
      <c r="C767" s="16" t="s">
        <v>1039</v>
      </c>
      <c r="D767" s="46" t="s">
        <v>1051</v>
      </c>
      <c r="E767" s="16" t="s">
        <v>1014</v>
      </c>
      <c r="F767" s="16" t="s">
        <v>1022</v>
      </c>
      <c r="G767" s="16" t="s">
        <v>1025</v>
      </c>
      <c r="H767" s="113" t="s">
        <v>925</v>
      </c>
      <c r="I767" s="67">
        <v>600</v>
      </c>
      <c r="J767" s="114" t="s">
        <v>987</v>
      </c>
      <c r="K767" s="112">
        <v>0</v>
      </c>
    </row>
    <row r="768" spans="2:11" x14ac:dyDescent="0.2">
      <c r="B768" s="16" t="s">
        <v>1003</v>
      </c>
      <c r="C768" s="16" t="s">
        <v>1039</v>
      </c>
      <c r="D768" s="46" t="s">
        <v>1051</v>
      </c>
      <c r="E768" s="16" t="s">
        <v>1014</v>
      </c>
      <c r="F768" s="16" t="s">
        <v>1022</v>
      </c>
      <c r="G768" s="16" t="s">
        <v>1025</v>
      </c>
      <c r="H768" s="113" t="s">
        <v>926</v>
      </c>
      <c r="I768" s="67">
        <v>600</v>
      </c>
      <c r="J768" s="114" t="s">
        <v>927</v>
      </c>
      <c r="K768" s="112">
        <v>0</v>
      </c>
    </row>
    <row r="769" spans="2:11" x14ac:dyDescent="0.2">
      <c r="B769" s="16"/>
      <c r="C769" s="16"/>
      <c r="D769" s="16"/>
      <c r="E769" s="16"/>
      <c r="F769" s="16"/>
      <c r="G769" s="16"/>
      <c r="H769" s="113" t="s">
        <v>817</v>
      </c>
      <c r="I769" s="67"/>
      <c r="J769" s="114" t="s">
        <v>928</v>
      </c>
      <c r="K769" s="112">
        <v>0</v>
      </c>
    </row>
    <row r="770" spans="2:11" x14ac:dyDescent="0.2">
      <c r="B770" s="16"/>
      <c r="C770" s="16"/>
      <c r="D770" s="16"/>
      <c r="E770" s="16"/>
      <c r="F770" s="16"/>
      <c r="G770" s="16"/>
      <c r="H770" s="113" t="s">
        <v>819</v>
      </c>
      <c r="I770" s="67"/>
      <c r="J770" s="114" t="s">
        <v>181</v>
      </c>
      <c r="K770" s="112">
        <v>0</v>
      </c>
    </row>
    <row r="771" spans="2:11" x14ac:dyDescent="0.2">
      <c r="B771" s="16"/>
      <c r="C771" s="16"/>
      <c r="D771" s="16"/>
      <c r="E771" s="16"/>
      <c r="F771" s="16"/>
      <c r="G771" s="16"/>
      <c r="H771" s="113" t="s">
        <v>821</v>
      </c>
      <c r="I771" s="67"/>
      <c r="J771" s="114" t="s">
        <v>421</v>
      </c>
      <c r="K771" s="112">
        <v>0</v>
      </c>
    </row>
    <row r="772" spans="2:11" x14ac:dyDescent="0.2">
      <c r="B772" s="16"/>
      <c r="C772" s="16"/>
      <c r="D772" s="16"/>
      <c r="E772" s="16"/>
      <c r="F772" s="16"/>
      <c r="G772" s="16"/>
      <c r="H772" s="113" t="s">
        <v>823</v>
      </c>
      <c r="I772" s="67"/>
      <c r="J772" s="114" t="s">
        <v>183</v>
      </c>
      <c r="K772" s="112">
        <v>0</v>
      </c>
    </row>
    <row r="773" spans="2:11" x14ac:dyDescent="0.2">
      <c r="B773" s="16" t="s">
        <v>1003</v>
      </c>
      <c r="C773" s="16" t="s">
        <v>1039</v>
      </c>
      <c r="D773" s="46" t="s">
        <v>1051</v>
      </c>
      <c r="E773" s="16" t="s">
        <v>1014</v>
      </c>
      <c r="F773" s="16" t="s">
        <v>1022</v>
      </c>
      <c r="G773" s="16" t="s">
        <v>1025</v>
      </c>
      <c r="H773" s="113" t="s">
        <v>929</v>
      </c>
      <c r="I773" s="67">
        <v>20</v>
      </c>
      <c r="J773" s="114" t="s">
        <v>988</v>
      </c>
      <c r="K773" s="112" t="s">
        <v>989</v>
      </c>
    </row>
    <row r="774" spans="2:11" x14ac:dyDescent="0.2">
      <c r="B774" s="16" t="s">
        <v>1003</v>
      </c>
      <c r="C774" s="16" t="s">
        <v>1039</v>
      </c>
      <c r="D774" s="46" t="s">
        <v>1051</v>
      </c>
      <c r="E774" s="16" t="s">
        <v>1014</v>
      </c>
      <c r="F774" s="16" t="s">
        <v>1022</v>
      </c>
      <c r="G774" s="16" t="s">
        <v>1025</v>
      </c>
      <c r="H774" s="113" t="s">
        <v>930</v>
      </c>
      <c r="I774" s="67">
        <v>20</v>
      </c>
      <c r="J774" s="114" t="s">
        <v>990</v>
      </c>
      <c r="K774" s="112">
        <v>0</v>
      </c>
    </row>
    <row r="775" spans="2:11" x14ac:dyDescent="0.2">
      <c r="B775" s="16"/>
      <c r="C775" s="16"/>
      <c r="D775" s="16"/>
      <c r="E775" s="16"/>
      <c r="F775" s="16"/>
      <c r="G775" s="16"/>
      <c r="H775" s="113" t="s">
        <v>831</v>
      </c>
      <c r="I775" s="67"/>
      <c r="J775" s="114" t="s">
        <v>931</v>
      </c>
      <c r="K775" s="112">
        <v>0</v>
      </c>
    </row>
    <row r="776" spans="2:11" x14ac:dyDescent="0.2">
      <c r="B776" s="16"/>
      <c r="C776" s="16"/>
      <c r="D776" s="16"/>
      <c r="E776" s="16"/>
      <c r="F776" s="16"/>
      <c r="G776" s="16"/>
      <c r="H776" s="113" t="s">
        <v>832</v>
      </c>
      <c r="I776" s="67"/>
      <c r="J776" s="114" t="s">
        <v>932</v>
      </c>
      <c r="K776" s="112">
        <v>0</v>
      </c>
    </row>
    <row r="777" spans="2:11" x14ac:dyDescent="0.2">
      <c r="B777" s="16" t="s">
        <v>1003</v>
      </c>
      <c r="C777" s="16" t="s">
        <v>1039</v>
      </c>
      <c r="D777" s="46" t="s">
        <v>1051</v>
      </c>
      <c r="E777" s="16" t="s">
        <v>1014</v>
      </c>
      <c r="F777" s="16" t="s">
        <v>1023</v>
      </c>
      <c r="G777" s="16" t="s">
        <v>1028</v>
      </c>
      <c r="H777" s="113" t="s">
        <v>846</v>
      </c>
      <c r="I777" s="67">
        <v>20</v>
      </c>
      <c r="J777" s="114" t="s">
        <v>242</v>
      </c>
      <c r="K777" s="112">
        <v>0</v>
      </c>
    </row>
    <row r="778" spans="2:11" x14ac:dyDescent="0.2">
      <c r="B778" s="16"/>
      <c r="C778" s="16"/>
      <c r="D778" s="16"/>
      <c r="E778" s="16"/>
      <c r="F778" s="16"/>
      <c r="G778" s="16"/>
      <c r="H778" s="113" t="s">
        <v>840</v>
      </c>
      <c r="I778" s="67"/>
      <c r="J778" s="114" t="s">
        <v>933</v>
      </c>
      <c r="K778" s="112">
        <v>0</v>
      </c>
    </row>
    <row r="779" spans="2:11" x14ac:dyDescent="0.2">
      <c r="B779" s="16" t="s">
        <v>1003</v>
      </c>
      <c r="C779" s="16" t="s">
        <v>1039</v>
      </c>
      <c r="D779" s="46" t="s">
        <v>1051</v>
      </c>
      <c r="E779" s="16" t="s">
        <v>1014</v>
      </c>
      <c r="F779" s="16" t="s">
        <v>1023</v>
      </c>
      <c r="G779" s="16" t="s">
        <v>1030</v>
      </c>
      <c r="H779" s="113" t="s">
        <v>844</v>
      </c>
      <c r="I779" s="67">
        <v>20</v>
      </c>
      <c r="J779" s="114" t="s">
        <v>845</v>
      </c>
      <c r="K779" s="112">
        <v>0</v>
      </c>
    </row>
    <row r="780" spans="2:11" x14ac:dyDescent="0.2">
      <c r="B780" s="16"/>
      <c r="C780" s="16"/>
      <c r="D780" s="16"/>
      <c r="E780" s="16"/>
      <c r="F780" s="16"/>
      <c r="G780" s="16"/>
      <c r="H780" s="113" t="s">
        <v>880</v>
      </c>
      <c r="I780" s="67"/>
      <c r="J780" s="114" t="s">
        <v>273</v>
      </c>
      <c r="K780" s="112">
        <v>0</v>
      </c>
    </row>
    <row r="781" spans="2:11" x14ac:dyDescent="0.2">
      <c r="B781" s="16"/>
      <c r="C781" s="16"/>
      <c r="D781" s="16"/>
      <c r="E781" s="16"/>
      <c r="F781" s="16"/>
      <c r="G781" s="16"/>
      <c r="H781" s="113" t="s">
        <v>881</v>
      </c>
      <c r="I781" s="67"/>
      <c r="J781" s="114" t="s">
        <v>275</v>
      </c>
      <c r="K781" s="112">
        <v>0</v>
      </c>
    </row>
    <row r="782" spans="2:11" x14ac:dyDescent="0.2">
      <c r="B782" s="16" t="s">
        <v>1003</v>
      </c>
      <c r="C782" s="16" t="s">
        <v>1039</v>
      </c>
      <c r="D782" s="46" t="s">
        <v>1051</v>
      </c>
      <c r="E782" s="16" t="s">
        <v>1014</v>
      </c>
      <c r="F782" s="16" t="s">
        <v>1023</v>
      </c>
      <c r="G782" s="16" t="s">
        <v>1031</v>
      </c>
      <c r="H782" s="113" t="s">
        <v>882</v>
      </c>
      <c r="I782" s="67">
        <v>20</v>
      </c>
      <c r="J782" s="114" t="s">
        <v>278</v>
      </c>
      <c r="K782" s="112">
        <v>0</v>
      </c>
    </row>
    <row r="783" spans="2:11" x14ac:dyDescent="0.2">
      <c r="B783" s="16"/>
      <c r="C783" s="16"/>
      <c r="D783" s="16"/>
      <c r="E783" s="16"/>
      <c r="F783" s="16"/>
      <c r="G783" s="16"/>
      <c r="H783" s="113"/>
      <c r="I783" s="67"/>
      <c r="J783" s="114"/>
      <c r="K783" s="112"/>
    </row>
    <row r="784" spans="2:11" x14ac:dyDescent="0.2">
      <c r="B784" s="16"/>
      <c r="C784" s="16"/>
      <c r="D784" s="16"/>
      <c r="E784" s="16"/>
      <c r="F784" s="16"/>
      <c r="G784" s="16"/>
      <c r="H784" s="113"/>
      <c r="I784" s="67"/>
      <c r="J784" s="114"/>
      <c r="K784" s="112"/>
    </row>
    <row r="785" spans="2:11" ht="15" x14ac:dyDescent="0.25">
      <c r="B785" s="16"/>
      <c r="C785" s="16"/>
      <c r="D785" s="16"/>
      <c r="E785" s="16"/>
      <c r="F785" s="16"/>
      <c r="G785" s="16"/>
      <c r="H785" s="106" t="s">
        <v>934</v>
      </c>
      <c r="I785" s="106"/>
      <c r="J785" s="106"/>
      <c r="K785" s="79">
        <v>0</v>
      </c>
    </row>
    <row r="786" spans="2:11" x14ac:dyDescent="0.2">
      <c r="B786" s="16"/>
      <c r="C786" s="16"/>
      <c r="D786" s="16"/>
      <c r="E786" s="16"/>
      <c r="F786" s="16"/>
      <c r="G786" s="16"/>
      <c r="H786" s="45"/>
      <c r="I786" s="67"/>
      <c r="J786" s="68"/>
      <c r="K786" s="95"/>
    </row>
    <row r="787" spans="2:11" ht="15" x14ac:dyDescent="0.25">
      <c r="B787" s="16"/>
      <c r="C787" s="16"/>
      <c r="D787" s="16"/>
      <c r="E787" s="16"/>
      <c r="F787" s="16"/>
      <c r="G787" s="16"/>
      <c r="H787" s="75" t="s">
        <v>935</v>
      </c>
      <c r="I787" s="75"/>
      <c r="J787" s="75"/>
      <c r="K787" s="76"/>
    </row>
    <row r="788" spans="2:11" ht="15" x14ac:dyDescent="0.25">
      <c r="B788" s="16"/>
      <c r="C788" s="16"/>
      <c r="D788" s="16"/>
      <c r="E788" s="16"/>
      <c r="F788" s="16"/>
      <c r="G788" s="16"/>
      <c r="H788" s="75" t="s">
        <v>936</v>
      </c>
      <c r="I788" s="75"/>
      <c r="J788" s="75"/>
      <c r="K788" s="76"/>
    </row>
    <row r="789" spans="2:11" ht="15" x14ac:dyDescent="0.2">
      <c r="B789" s="16"/>
      <c r="C789" s="16"/>
      <c r="D789" s="16"/>
      <c r="E789" s="16"/>
      <c r="F789" s="16"/>
      <c r="G789" s="16"/>
      <c r="H789" s="55" t="s">
        <v>937</v>
      </c>
      <c r="I789" s="56"/>
      <c r="J789" s="32" t="s">
        <v>938</v>
      </c>
      <c r="K789" s="57"/>
    </row>
    <row r="790" spans="2:11" ht="15" x14ac:dyDescent="0.2">
      <c r="B790" s="16"/>
      <c r="C790" s="16"/>
      <c r="D790" s="16"/>
      <c r="E790" s="16"/>
      <c r="F790" s="16"/>
      <c r="G790" s="16"/>
      <c r="H790" s="17" t="s">
        <v>939</v>
      </c>
      <c r="I790" s="77"/>
      <c r="J790" s="44" t="s">
        <v>914</v>
      </c>
      <c r="K790" s="115">
        <v>53826083191</v>
      </c>
    </row>
    <row r="791" spans="2:11" ht="15" x14ac:dyDescent="0.2">
      <c r="B791" s="16"/>
      <c r="C791" s="16"/>
      <c r="D791" s="16"/>
      <c r="E791" s="16"/>
      <c r="F791" s="16"/>
      <c r="G791" s="16"/>
      <c r="H791" s="17" t="s">
        <v>940</v>
      </c>
      <c r="I791" s="77"/>
      <c r="J791" s="44" t="s">
        <v>769</v>
      </c>
      <c r="K791" s="116">
        <v>0</v>
      </c>
    </row>
    <row r="792" spans="2:11" ht="15" x14ac:dyDescent="0.2">
      <c r="B792" s="16"/>
      <c r="C792" s="16"/>
      <c r="D792" s="16"/>
      <c r="E792" s="16"/>
      <c r="F792" s="16"/>
      <c r="G792" s="16"/>
      <c r="H792" s="17" t="s">
        <v>941</v>
      </c>
      <c r="I792" s="77"/>
      <c r="J792" s="44" t="s">
        <v>770</v>
      </c>
      <c r="K792" s="116">
        <v>0</v>
      </c>
    </row>
    <row r="793" spans="2:11" ht="15" x14ac:dyDescent="0.2">
      <c r="B793" s="16"/>
      <c r="C793" s="16"/>
      <c r="D793" s="16"/>
      <c r="E793" s="16"/>
      <c r="F793" s="16"/>
      <c r="G793" s="16"/>
      <c r="H793" s="17" t="s">
        <v>942</v>
      </c>
      <c r="I793" s="77"/>
      <c r="J793" s="44" t="s">
        <v>818</v>
      </c>
      <c r="K793" s="116">
        <v>0</v>
      </c>
    </row>
    <row r="794" spans="2:11" ht="30" x14ac:dyDescent="0.2">
      <c r="B794" s="16"/>
      <c r="C794" s="16"/>
      <c r="D794" s="16"/>
      <c r="E794" s="16"/>
      <c r="F794" s="16"/>
      <c r="G794" s="16"/>
      <c r="H794" s="17" t="s">
        <v>943</v>
      </c>
      <c r="I794" s="77"/>
      <c r="J794" s="117" t="s">
        <v>944</v>
      </c>
      <c r="K794" s="116">
        <v>0</v>
      </c>
    </row>
    <row r="795" spans="2:11" x14ac:dyDescent="0.2">
      <c r="B795" s="16"/>
      <c r="C795" s="16"/>
      <c r="D795" s="16"/>
      <c r="E795" s="16"/>
      <c r="F795" s="16"/>
      <c r="G795" s="16"/>
      <c r="H795" s="21" t="s">
        <v>945</v>
      </c>
      <c r="I795" s="80"/>
      <c r="J795" s="118" t="s">
        <v>946</v>
      </c>
      <c r="K795" s="119">
        <v>0</v>
      </c>
    </row>
    <row r="796" spans="2:11" ht="16.5" x14ac:dyDescent="0.2">
      <c r="B796" s="16" t="s">
        <v>1003</v>
      </c>
      <c r="C796" s="16" t="s">
        <v>1012</v>
      </c>
      <c r="D796" s="46" t="s">
        <v>1051</v>
      </c>
      <c r="E796" s="16" t="s">
        <v>1015</v>
      </c>
      <c r="F796" s="16" t="s">
        <v>1022</v>
      </c>
      <c r="G796" s="16" t="s">
        <v>1025</v>
      </c>
      <c r="H796" s="21" t="s">
        <v>947</v>
      </c>
      <c r="I796" s="67">
        <v>3</v>
      </c>
      <c r="J796" s="118" t="s">
        <v>10</v>
      </c>
      <c r="K796" s="120">
        <v>0</v>
      </c>
    </row>
    <row r="797" spans="2:11" ht="16.5" x14ac:dyDescent="0.2">
      <c r="B797" s="16" t="s">
        <v>1003</v>
      </c>
      <c r="C797" s="16" t="s">
        <v>1012</v>
      </c>
      <c r="D797" s="46" t="s">
        <v>1051</v>
      </c>
      <c r="E797" s="16" t="s">
        <v>1014</v>
      </c>
      <c r="F797" s="16" t="s">
        <v>1022</v>
      </c>
      <c r="G797" s="16" t="s">
        <v>1025</v>
      </c>
      <c r="H797" s="21" t="s">
        <v>948</v>
      </c>
      <c r="I797" s="67">
        <v>20</v>
      </c>
      <c r="J797" s="118" t="s">
        <v>10</v>
      </c>
      <c r="K797" s="120">
        <v>0</v>
      </c>
    </row>
    <row r="798" spans="2:11" s="13" customFormat="1" ht="15" x14ac:dyDescent="0.25">
      <c r="B798" s="16"/>
      <c r="C798" s="16"/>
      <c r="D798" s="16"/>
      <c r="E798" s="16"/>
      <c r="F798" s="16"/>
      <c r="G798" s="24"/>
      <c r="H798" s="17" t="s">
        <v>949</v>
      </c>
      <c r="I798" s="77"/>
      <c r="J798" s="17" t="s">
        <v>771</v>
      </c>
      <c r="K798" s="79">
        <v>53826083191</v>
      </c>
    </row>
    <row r="799" spans="2:11" s="13" customFormat="1" ht="15" x14ac:dyDescent="0.25">
      <c r="B799" s="24"/>
      <c r="C799" s="24"/>
      <c r="D799" s="24"/>
      <c r="E799" s="24"/>
      <c r="F799" s="24"/>
      <c r="G799" s="24"/>
      <c r="H799" s="17" t="s">
        <v>950</v>
      </c>
      <c r="I799" s="77"/>
      <c r="J799" s="17" t="s">
        <v>583</v>
      </c>
      <c r="K799" s="79">
        <v>53826083191</v>
      </c>
    </row>
    <row r="800" spans="2:11" s="13" customFormat="1" ht="15" x14ac:dyDescent="0.25">
      <c r="B800" s="24"/>
      <c r="C800" s="24"/>
      <c r="D800" s="24"/>
      <c r="E800" s="24"/>
      <c r="F800" s="24"/>
      <c r="G800" s="24"/>
      <c r="H800" s="17" t="s">
        <v>951</v>
      </c>
      <c r="I800" s="77"/>
      <c r="J800" s="17" t="s">
        <v>837</v>
      </c>
      <c r="K800" s="79">
        <v>53826083191</v>
      </c>
    </row>
    <row r="801" spans="2:11" s="13" customFormat="1" ht="15" x14ac:dyDescent="0.25">
      <c r="B801" s="24"/>
      <c r="C801" s="24"/>
      <c r="D801" s="24"/>
      <c r="E801" s="24"/>
      <c r="F801" s="24"/>
      <c r="G801" s="24"/>
      <c r="H801" s="17" t="s">
        <v>952</v>
      </c>
      <c r="I801" s="77"/>
      <c r="J801" s="121" t="s">
        <v>953</v>
      </c>
      <c r="K801" s="79">
        <v>53826083191</v>
      </c>
    </row>
    <row r="802" spans="2:11" s="13" customFormat="1" ht="15" x14ac:dyDescent="0.25">
      <c r="B802" s="16" t="s">
        <v>1003</v>
      </c>
      <c r="C802" s="16" t="s">
        <v>1012</v>
      </c>
      <c r="D802" s="46" t="s">
        <v>1051</v>
      </c>
      <c r="E802" s="16" t="s">
        <v>1015</v>
      </c>
      <c r="F802" s="16" t="s">
        <v>1023</v>
      </c>
      <c r="G802" s="16" t="s">
        <v>1035</v>
      </c>
      <c r="H802" s="21" t="s">
        <v>954</v>
      </c>
      <c r="I802" s="80">
        <v>4</v>
      </c>
      <c r="J802" s="122" t="s">
        <v>955</v>
      </c>
      <c r="K802" s="79">
        <v>0</v>
      </c>
    </row>
    <row r="803" spans="2:11" x14ac:dyDescent="0.2">
      <c r="B803" s="16" t="s">
        <v>1003</v>
      </c>
      <c r="C803" s="16" t="s">
        <v>1012</v>
      </c>
      <c r="D803" s="46" t="s">
        <v>1051</v>
      </c>
      <c r="E803" s="16" t="s">
        <v>1015</v>
      </c>
      <c r="F803" s="16" t="s">
        <v>1023</v>
      </c>
      <c r="G803" s="16" t="s">
        <v>1035</v>
      </c>
      <c r="H803" s="21" t="s">
        <v>956</v>
      </c>
      <c r="I803" s="80">
        <v>5</v>
      </c>
      <c r="J803" s="122" t="s">
        <v>955</v>
      </c>
      <c r="K803" s="95">
        <v>0</v>
      </c>
    </row>
    <row r="804" spans="2:11" x14ac:dyDescent="0.2">
      <c r="B804" s="16" t="s">
        <v>1003</v>
      </c>
      <c r="C804" s="16" t="s">
        <v>1012</v>
      </c>
      <c r="D804" s="46" t="s">
        <v>1051</v>
      </c>
      <c r="E804" s="16" t="s">
        <v>1015</v>
      </c>
      <c r="F804" s="16" t="s">
        <v>1023</v>
      </c>
      <c r="G804" s="16" t="s">
        <v>1035</v>
      </c>
      <c r="H804" s="21" t="s">
        <v>957</v>
      </c>
      <c r="I804" s="80">
        <v>8</v>
      </c>
      <c r="J804" s="122" t="s">
        <v>955</v>
      </c>
      <c r="K804" s="95">
        <v>0</v>
      </c>
    </row>
    <row r="805" spans="2:11" x14ac:dyDescent="0.2">
      <c r="B805" s="16" t="s">
        <v>1003</v>
      </c>
      <c r="C805" s="16" t="s">
        <v>1012</v>
      </c>
      <c r="D805" s="46" t="s">
        <v>1051</v>
      </c>
      <c r="E805" s="16" t="s">
        <v>1014</v>
      </c>
      <c r="F805" s="16" t="s">
        <v>1023</v>
      </c>
      <c r="G805" s="16" t="s">
        <v>1035</v>
      </c>
      <c r="H805" s="21" t="s">
        <v>958</v>
      </c>
      <c r="I805" s="80">
        <v>20</v>
      </c>
      <c r="J805" s="122" t="s">
        <v>955</v>
      </c>
      <c r="K805" s="95">
        <v>0</v>
      </c>
    </row>
    <row r="806" spans="2:11" x14ac:dyDescent="0.2">
      <c r="B806" s="16" t="s">
        <v>1003</v>
      </c>
      <c r="C806" s="16" t="s">
        <v>1012</v>
      </c>
      <c r="D806" s="46" t="s">
        <v>1051</v>
      </c>
      <c r="E806" s="16" t="s">
        <v>1015</v>
      </c>
      <c r="F806" s="16" t="s">
        <v>1023</v>
      </c>
      <c r="G806" s="16" t="s">
        <v>1035</v>
      </c>
      <c r="H806" s="21" t="s">
        <v>959</v>
      </c>
      <c r="I806" s="80">
        <v>23</v>
      </c>
      <c r="J806" s="122" t="s">
        <v>955</v>
      </c>
      <c r="K806" s="95">
        <v>0</v>
      </c>
    </row>
    <row r="807" spans="2:11" x14ac:dyDescent="0.2">
      <c r="B807" s="16" t="s">
        <v>1003</v>
      </c>
      <c r="C807" s="16" t="s">
        <v>1012</v>
      </c>
      <c r="D807" s="46" t="s">
        <v>1051</v>
      </c>
      <c r="E807" s="16" t="s">
        <v>1015</v>
      </c>
      <c r="F807" s="16" t="s">
        <v>1023</v>
      </c>
      <c r="G807" s="16" t="s">
        <v>1035</v>
      </c>
      <c r="H807" s="21" t="s">
        <v>983</v>
      </c>
      <c r="I807" s="80">
        <v>23</v>
      </c>
      <c r="J807" s="122" t="s">
        <v>955</v>
      </c>
      <c r="K807" s="95">
        <v>0</v>
      </c>
    </row>
    <row r="808" spans="2:11" x14ac:dyDescent="0.2">
      <c r="B808" s="16" t="s">
        <v>1003</v>
      </c>
      <c r="C808" s="16" t="s">
        <v>1012</v>
      </c>
      <c r="D808" s="46" t="s">
        <v>1051</v>
      </c>
      <c r="E808" s="16" t="s">
        <v>1015</v>
      </c>
      <c r="F808" s="16" t="s">
        <v>1023</v>
      </c>
      <c r="G808" s="16" t="s">
        <v>1035</v>
      </c>
      <c r="H808" s="21" t="s">
        <v>960</v>
      </c>
      <c r="I808" s="80">
        <v>312</v>
      </c>
      <c r="J808" s="122" t="s">
        <v>955</v>
      </c>
      <c r="K808" s="95">
        <v>21000000000</v>
      </c>
    </row>
    <row r="809" spans="2:11" x14ac:dyDescent="0.2">
      <c r="B809" s="16" t="s">
        <v>1003</v>
      </c>
      <c r="C809" s="16" t="s">
        <v>1012</v>
      </c>
      <c r="D809" s="46" t="s">
        <v>1051</v>
      </c>
      <c r="E809" s="16" t="s">
        <v>1015</v>
      </c>
      <c r="F809" s="16" t="s">
        <v>1023</v>
      </c>
      <c r="G809" s="16" t="s">
        <v>1035</v>
      </c>
      <c r="H809" s="21" t="s">
        <v>961</v>
      </c>
      <c r="I809" s="80">
        <v>316</v>
      </c>
      <c r="J809" s="122" t="s">
        <v>955</v>
      </c>
      <c r="K809" s="95">
        <v>32826083191</v>
      </c>
    </row>
    <row r="810" spans="2:11" ht="15" x14ac:dyDescent="0.25">
      <c r="B810" s="123"/>
      <c r="C810" s="123"/>
      <c r="D810" s="123"/>
      <c r="E810" s="123"/>
      <c r="F810" s="123"/>
      <c r="G810" s="123"/>
      <c r="H810" s="124" t="s">
        <v>962</v>
      </c>
      <c r="I810" s="124"/>
      <c r="J810" s="124"/>
      <c r="K810" s="125">
        <v>53826083191</v>
      </c>
    </row>
    <row r="811" spans="2:11" x14ac:dyDescent="0.2">
      <c r="B811" s="16"/>
      <c r="C811" s="16"/>
      <c r="D811" s="16"/>
      <c r="E811" s="16"/>
      <c r="F811" s="16"/>
      <c r="G811" s="16"/>
      <c r="H811" s="45"/>
      <c r="I811" s="46"/>
      <c r="J811" s="22"/>
      <c r="K811" s="126"/>
    </row>
    <row r="812" spans="2:11" ht="15" x14ac:dyDescent="0.25">
      <c r="B812" s="16"/>
      <c r="C812" s="16"/>
      <c r="D812" s="16"/>
      <c r="E812" s="16"/>
      <c r="F812" s="16"/>
      <c r="G812" s="16"/>
      <c r="H812" s="127" t="s">
        <v>963</v>
      </c>
      <c r="I812" s="127"/>
      <c r="J812" s="127"/>
      <c r="K812" s="128">
        <f>+K641+K3</f>
        <v>1339572954253</v>
      </c>
    </row>
    <row r="814" spans="2:11" ht="15" x14ac:dyDescent="0.25">
      <c r="K814" s="131"/>
    </row>
  </sheetData>
  <mergeCells count="1">
    <mergeCell ref="H1:K1"/>
  </mergeCells>
  <conditionalFormatting sqref="J258">
    <cfRule type="expression" dxfId="26" priority="1">
      <formula>#REF!="A9"</formula>
    </cfRule>
    <cfRule type="expression" dxfId="25" priority="2">
      <formula>#REF!="A8"</formula>
    </cfRule>
    <cfRule type="expression" dxfId="24" priority="3">
      <formula>#REF!="A7"</formula>
    </cfRule>
    <cfRule type="expression" dxfId="23" priority="4">
      <formula>#REF!="A6"</formula>
    </cfRule>
    <cfRule type="expression" dxfId="22" priority="5">
      <formula>#REF!="A5"</formula>
    </cfRule>
    <cfRule type="expression" dxfId="21" priority="6">
      <formula>#REF!="A4"</formula>
    </cfRule>
    <cfRule type="expression" dxfId="20" priority="7">
      <formula>#REF!="A3"</formula>
    </cfRule>
    <cfRule type="expression" dxfId="19" priority="8">
      <formula>#REF!="A2"</formula>
    </cfRule>
    <cfRule type="expression" dxfId="18" priority="9">
      <formula>#REF!="A1"</formula>
    </cfRule>
  </conditionalFormatting>
  <pageMargins left="0.55118110236220474" right="0.74803149606299213" top="0.98425196850393704" bottom="0.98425196850393704" header="0" footer="0"/>
  <pageSetup scale="70" orientation="landscape" blackAndWhite="1" errors="NA" r:id="rId1"/>
  <headerFooter alignWithMargins="0">
    <oddFooter>&amp;C&amp;P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85CC6-B9EB-4CD3-AE21-47C6911D053F}">
  <dimension ref="B1:M833"/>
  <sheetViews>
    <sheetView showGridLines="0" topLeftCell="H1" zoomScale="85" zoomScaleNormal="85" workbookViewId="0">
      <pane ySplit="1" topLeftCell="A812" activePane="bottomLeft" state="frozen"/>
      <selection activeCell="B1" sqref="B1"/>
      <selection pane="bottomLeft" activeCell="J830" sqref="J830"/>
    </sheetView>
  </sheetViews>
  <sheetFormatPr baseColWidth="10" defaultColWidth="11.42578125" defaultRowHeight="14.25" x14ac:dyDescent="0.2"/>
  <cols>
    <col min="1" max="1" width="11.42578125" style="8"/>
    <col min="2" max="2" width="9.7109375" style="8" customWidth="1"/>
    <col min="3" max="3" width="34.140625" style="8" customWidth="1"/>
    <col min="4" max="4" width="31.7109375" style="8" customWidth="1"/>
    <col min="5" max="5" width="23" style="8" customWidth="1"/>
    <col min="6" max="6" width="18.7109375" style="8" customWidth="1"/>
    <col min="7" max="7" width="20.42578125" style="8" customWidth="1"/>
    <col min="8" max="8" width="45.140625" style="52" customWidth="1"/>
    <col min="9" max="9" width="10.42578125" style="129" customWidth="1"/>
    <col min="10" max="10" width="76.7109375" style="130" customWidth="1"/>
    <col min="11" max="11" width="24.7109375" style="132" bestFit="1" customWidth="1"/>
    <col min="12" max="13" width="21.7109375" style="8" bestFit="1" customWidth="1"/>
    <col min="14" max="16384" width="11.42578125" style="8"/>
  </cols>
  <sheetData>
    <row r="1" spans="2:13" s="3" customFormat="1" ht="15.6" customHeight="1" x14ac:dyDescent="0.25">
      <c r="H1" s="199"/>
      <c r="I1" s="199"/>
      <c r="J1" s="199"/>
      <c r="K1" s="199"/>
    </row>
    <row r="2" spans="2:13" s="3" customFormat="1" ht="15.6" customHeight="1" thickBot="1" x14ac:dyDescent="0.3">
      <c r="H2" s="5"/>
      <c r="I2" s="6"/>
      <c r="J2" s="4"/>
      <c r="K2" s="7"/>
      <c r="L2" s="197"/>
      <c r="M2" s="198"/>
    </row>
    <row r="3" spans="2:13" ht="15.75" thickBot="1" x14ac:dyDescent="0.3">
      <c r="H3" s="9" t="s">
        <v>1001</v>
      </c>
      <c r="I3" s="10"/>
      <c r="J3" s="11"/>
      <c r="K3" s="12">
        <f>+K204+K252+K538+K556+K582+K639</f>
        <v>1268751167162</v>
      </c>
      <c r="L3" s="12">
        <f>+L204+L252+L538+L556+L582+L639</f>
        <v>0</v>
      </c>
      <c r="M3" s="12">
        <f>+M204+M252+M538+M556+M582+M639</f>
        <v>1268751167162</v>
      </c>
    </row>
    <row r="4" spans="2:13" s="13" customFormat="1" ht="21.75" customHeight="1" x14ac:dyDescent="0.25">
      <c r="H4" s="14" t="s">
        <v>773</v>
      </c>
      <c r="I4" s="6"/>
      <c r="J4" s="15"/>
      <c r="K4" s="15"/>
    </row>
    <row r="5" spans="2:13" s="138" customFormat="1" ht="45.6" customHeight="1" x14ac:dyDescent="0.2">
      <c r="B5" s="134" t="s">
        <v>995</v>
      </c>
      <c r="C5" s="135" t="s">
        <v>996</v>
      </c>
      <c r="D5" s="135" t="s">
        <v>1045</v>
      </c>
      <c r="E5" s="135" t="s">
        <v>997</v>
      </c>
      <c r="F5" s="135" t="s">
        <v>998</v>
      </c>
      <c r="G5" s="134" t="s">
        <v>999</v>
      </c>
      <c r="H5" s="134" t="s">
        <v>1000</v>
      </c>
      <c r="I5" s="185" t="s">
        <v>994</v>
      </c>
      <c r="J5" s="136" t="s">
        <v>774</v>
      </c>
      <c r="K5" s="133" t="s">
        <v>1052</v>
      </c>
      <c r="L5" s="137" t="s">
        <v>1053</v>
      </c>
      <c r="M5" s="137" t="s">
        <v>1056</v>
      </c>
    </row>
    <row r="6" spans="2:13" ht="15" x14ac:dyDescent="0.25">
      <c r="B6" s="16"/>
      <c r="C6" s="16"/>
      <c r="D6" s="16"/>
      <c r="E6" s="16"/>
      <c r="F6" s="16"/>
      <c r="G6" s="16"/>
      <c r="H6" s="17" t="s">
        <v>0</v>
      </c>
      <c r="I6" s="18"/>
      <c r="J6" s="19" t="s">
        <v>1</v>
      </c>
      <c r="K6" s="151">
        <f>+K7+K135</f>
        <v>438913691636</v>
      </c>
      <c r="L6" s="151">
        <f t="shared" ref="L6" si="0">+L7+L135</f>
        <v>0</v>
      </c>
      <c r="M6" s="151">
        <f t="shared" ref="M6" si="1">+M7+M135</f>
        <v>438913691636</v>
      </c>
    </row>
    <row r="7" spans="2:13" ht="15" x14ac:dyDescent="0.25">
      <c r="B7" s="16"/>
      <c r="C7" s="16"/>
      <c r="D7" s="16"/>
      <c r="E7" s="16"/>
      <c r="F7" s="16"/>
      <c r="G7" s="16"/>
      <c r="H7" s="17" t="s">
        <v>2</v>
      </c>
      <c r="I7" s="18"/>
      <c r="J7" s="19" t="s">
        <v>3</v>
      </c>
      <c r="K7" s="152">
        <f>+K8+K59</f>
        <v>436463691636</v>
      </c>
      <c r="L7" s="152">
        <f t="shared" ref="L7" si="2">+L8+L59</f>
        <v>0</v>
      </c>
      <c r="M7" s="152">
        <f t="shared" ref="M7" si="3">+M8+M59</f>
        <v>436463691636</v>
      </c>
    </row>
    <row r="8" spans="2:13" ht="15" x14ac:dyDescent="0.25">
      <c r="B8" s="16"/>
      <c r="C8" s="16"/>
      <c r="D8" s="16"/>
      <c r="E8" s="16"/>
      <c r="F8" s="16"/>
      <c r="G8" s="16"/>
      <c r="H8" s="17" t="s">
        <v>4</v>
      </c>
      <c r="I8" s="18"/>
      <c r="J8" s="19" t="s">
        <v>5</v>
      </c>
      <c r="K8" s="152">
        <f>+K9+K13</f>
        <v>377152180843</v>
      </c>
      <c r="L8" s="152">
        <f t="shared" ref="L8" si="4">+L9+L13</f>
        <v>0</v>
      </c>
      <c r="M8" s="152">
        <f t="shared" ref="M8" si="5">+M9+M13</f>
        <v>377152180843</v>
      </c>
    </row>
    <row r="9" spans="2:13" ht="15" x14ac:dyDescent="0.25">
      <c r="B9" s="16"/>
      <c r="C9" s="16"/>
      <c r="D9" s="16"/>
      <c r="E9" s="16"/>
      <c r="F9" s="16"/>
      <c r="G9" s="16"/>
      <c r="H9" s="17" t="s">
        <v>6</v>
      </c>
      <c r="I9" s="18"/>
      <c r="J9" s="19" t="s">
        <v>7</v>
      </c>
      <c r="K9" s="152">
        <f>+K10</f>
        <v>73274635571</v>
      </c>
      <c r="L9" s="152">
        <f t="shared" ref="L9:M9" si="6">+L10</f>
        <v>0</v>
      </c>
      <c r="M9" s="152">
        <f t="shared" si="6"/>
        <v>73274635571</v>
      </c>
    </row>
    <row r="10" spans="2:13" x14ac:dyDescent="0.2">
      <c r="B10" s="16"/>
      <c r="C10" s="16"/>
      <c r="D10" s="16"/>
      <c r="E10" s="16"/>
      <c r="F10" s="16"/>
      <c r="G10" s="16"/>
      <c r="H10" s="21" t="s">
        <v>8</v>
      </c>
      <c r="I10" s="18"/>
      <c r="J10" s="22" t="s">
        <v>9</v>
      </c>
      <c r="K10" s="150">
        <f>+K11+K12</f>
        <v>73274635571</v>
      </c>
      <c r="L10" s="150">
        <f t="shared" ref="L10" si="7">+L11+L12</f>
        <v>0</v>
      </c>
      <c r="M10" s="150">
        <f t="shared" ref="M10" si="8">+M11+M12</f>
        <v>73274635571</v>
      </c>
    </row>
    <row r="11" spans="2:13" x14ac:dyDescent="0.2">
      <c r="B11" s="16" t="s">
        <v>1002</v>
      </c>
      <c r="C11" s="16" t="s">
        <v>1004</v>
      </c>
      <c r="D11" s="46" t="s">
        <v>1051</v>
      </c>
      <c r="E11" s="16" t="s">
        <v>1015</v>
      </c>
      <c r="F11" s="16" t="s">
        <v>1022</v>
      </c>
      <c r="G11" s="16" t="s">
        <v>1024</v>
      </c>
      <c r="H11" s="21" t="s">
        <v>11</v>
      </c>
      <c r="I11" s="18" t="str">
        <f>RIGHT(H11,4)</f>
        <v>- 14</v>
      </c>
      <c r="J11" s="22" t="s">
        <v>9</v>
      </c>
      <c r="K11" s="126">
        <v>14654927114</v>
      </c>
      <c r="L11" s="126"/>
      <c r="M11" s="126">
        <f>+Tabla13[[#This Row],[PF INICIAL]]+Tabla13[[#This Row],[AJUSTE 1]]</f>
        <v>14654927114</v>
      </c>
    </row>
    <row r="12" spans="2:13" x14ac:dyDescent="0.2">
      <c r="B12" s="16" t="s">
        <v>1002</v>
      </c>
      <c r="C12" s="16" t="s">
        <v>1004</v>
      </c>
      <c r="D12" s="46" t="s">
        <v>1051</v>
      </c>
      <c r="E12" s="16" t="s">
        <v>1013</v>
      </c>
      <c r="F12" s="16" t="s">
        <v>1022</v>
      </c>
      <c r="G12" s="16" t="s">
        <v>1024</v>
      </c>
      <c r="H12" s="21" t="s">
        <v>12</v>
      </c>
      <c r="I12" s="18" t="str">
        <f>RIGHT(H12,4)</f>
        <v>- 20</v>
      </c>
      <c r="J12" s="22" t="s">
        <v>9</v>
      </c>
      <c r="K12" s="126">
        <v>58619708457</v>
      </c>
      <c r="L12" s="126"/>
      <c r="M12" s="126">
        <f>+Tabla13[[#This Row],[PF INICIAL]]+Tabla13[[#This Row],[AJUSTE 1]]</f>
        <v>58619708457</v>
      </c>
    </row>
    <row r="13" spans="2:13" ht="15" x14ac:dyDescent="0.25">
      <c r="B13" s="16"/>
      <c r="C13" s="16"/>
      <c r="D13" s="16"/>
      <c r="E13" s="16"/>
      <c r="F13" s="16"/>
      <c r="G13" s="16"/>
      <c r="H13" s="17" t="s">
        <v>13</v>
      </c>
      <c r="I13" s="18"/>
      <c r="J13" s="19" t="s">
        <v>14</v>
      </c>
      <c r="K13" s="152">
        <f>+K14+K21+K23+K35+K40+K45+K48+K50</f>
        <v>303877545272</v>
      </c>
      <c r="L13" s="152">
        <f t="shared" ref="L13" si="9">+L14+L21+L23+L35+L40+L45+L48+L50</f>
        <v>0</v>
      </c>
      <c r="M13" s="152">
        <f t="shared" ref="M13" si="10">+M14+M21+M23+M35+M40+M45+M48+M50</f>
        <v>303877545272</v>
      </c>
    </row>
    <row r="14" spans="2:13" x14ac:dyDescent="0.2">
      <c r="B14" s="16"/>
      <c r="C14" s="16"/>
      <c r="D14" s="16"/>
      <c r="E14" s="16"/>
      <c r="F14" s="16"/>
      <c r="G14" s="16"/>
      <c r="H14" s="21" t="s">
        <v>15</v>
      </c>
      <c r="I14" s="18"/>
      <c r="J14" s="22" t="s">
        <v>16</v>
      </c>
      <c r="K14" s="150">
        <f>+K15+K18</f>
        <v>31564734950</v>
      </c>
      <c r="L14" s="150">
        <f t="shared" ref="L14" si="11">+L15+L18</f>
        <v>0</v>
      </c>
      <c r="M14" s="150">
        <f t="shared" ref="M14" si="12">+M15+M18</f>
        <v>31564734950</v>
      </c>
    </row>
    <row r="15" spans="2:13" x14ac:dyDescent="0.2">
      <c r="B15" s="16"/>
      <c r="C15" s="16"/>
      <c r="D15" s="16"/>
      <c r="E15" s="16"/>
      <c r="F15" s="16"/>
      <c r="G15" s="16"/>
      <c r="H15" s="21" t="s">
        <v>17</v>
      </c>
      <c r="I15" s="18"/>
      <c r="J15" s="22" t="s">
        <v>18</v>
      </c>
      <c r="K15" s="150">
        <f>+K16+K17</f>
        <v>1578236747</v>
      </c>
      <c r="L15" s="150">
        <f t="shared" ref="L15" si="13">+L16+L17</f>
        <v>0</v>
      </c>
      <c r="M15" s="150">
        <f t="shared" ref="M15" si="14">+M16+M17</f>
        <v>1578236747</v>
      </c>
    </row>
    <row r="16" spans="2:13" x14ac:dyDescent="0.2">
      <c r="B16" s="16" t="s">
        <v>1002</v>
      </c>
      <c r="C16" s="16" t="s">
        <v>1004</v>
      </c>
      <c r="D16" s="46" t="s">
        <v>1051</v>
      </c>
      <c r="E16" s="16" t="s">
        <v>1015</v>
      </c>
      <c r="F16" s="16" t="s">
        <v>1022</v>
      </c>
      <c r="G16" s="16" t="s">
        <v>1024</v>
      </c>
      <c r="H16" s="21" t="s">
        <v>19</v>
      </c>
      <c r="I16" s="18" t="str">
        <f t="shared" ref="I16:I22" si="15">RIGHT(H16,4)</f>
        <v>- 01</v>
      </c>
      <c r="J16" s="22" t="s">
        <v>18</v>
      </c>
      <c r="K16" s="126">
        <v>350719277</v>
      </c>
      <c r="L16" s="126"/>
      <c r="M16" s="126">
        <f>+Tabla13[[#This Row],[PF INICIAL]]+Tabla13[[#This Row],[AJUSTE 1]]</f>
        <v>350719277</v>
      </c>
    </row>
    <row r="17" spans="2:13" x14ac:dyDescent="0.2">
      <c r="B17" s="16" t="s">
        <v>1002</v>
      </c>
      <c r="C17" s="16" t="s">
        <v>1004</v>
      </c>
      <c r="D17" s="46" t="s">
        <v>1051</v>
      </c>
      <c r="E17" s="16" t="s">
        <v>1013</v>
      </c>
      <c r="F17" s="16" t="s">
        <v>1022</v>
      </c>
      <c r="G17" s="16" t="s">
        <v>1024</v>
      </c>
      <c r="H17" s="21" t="s">
        <v>20</v>
      </c>
      <c r="I17" s="18" t="str">
        <f t="shared" si="15"/>
        <v>- 20</v>
      </c>
      <c r="J17" s="22" t="s">
        <v>18</v>
      </c>
      <c r="K17" s="126">
        <v>1227517470</v>
      </c>
      <c r="L17" s="126"/>
      <c r="M17" s="126">
        <f>+Tabla13[[#This Row],[PF INICIAL]]+Tabla13[[#This Row],[AJUSTE 1]]</f>
        <v>1227517470</v>
      </c>
    </row>
    <row r="18" spans="2:13" x14ac:dyDescent="0.2">
      <c r="B18" s="16"/>
      <c r="C18" s="16"/>
      <c r="D18" s="16"/>
      <c r="E18" s="16"/>
      <c r="F18" s="16"/>
      <c r="G18" s="16"/>
      <c r="H18" s="21" t="s">
        <v>21</v>
      </c>
      <c r="I18" s="18"/>
      <c r="J18" s="22" t="s">
        <v>22</v>
      </c>
      <c r="K18" s="150">
        <f>+K19+K20</f>
        <v>29986498203</v>
      </c>
      <c r="L18" s="150">
        <f t="shared" ref="L18" si="16">+L19+L20</f>
        <v>0</v>
      </c>
      <c r="M18" s="150">
        <f t="shared" ref="M18" si="17">+M19+M20</f>
        <v>29986498203</v>
      </c>
    </row>
    <row r="19" spans="2:13" x14ac:dyDescent="0.2">
      <c r="B19" s="16" t="s">
        <v>1002</v>
      </c>
      <c r="C19" s="16" t="s">
        <v>1004</v>
      </c>
      <c r="D19" s="46" t="s">
        <v>1051</v>
      </c>
      <c r="E19" s="16" t="s">
        <v>1015</v>
      </c>
      <c r="F19" s="16" t="s">
        <v>1022</v>
      </c>
      <c r="G19" s="16" t="s">
        <v>1024</v>
      </c>
      <c r="H19" s="21" t="s">
        <v>23</v>
      </c>
      <c r="I19" s="18" t="str">
        <f t="shared" si="15"/>
        <v>- 01</v>
      </c>
      <c r="J19" s="22" t="s">
        <v>22</v>
      </c>
      <c r="K19" s="126">
        <v>6663666267</v>
      </c>
      <c r="L19" s="126"/>
      <c r="M19" s="126">
        <f>+Tabla13[[#This Row],[PF INICIAL]]+Tabla13[[#This Row],[AJUSTE 1]]</f>
        <v>6663666267</v>
      </c>
    </row>
    <row r="20" spans="2:13" x14ac:dyDescent="0.2">
      <c r="B20" s="16" t="s">
        <v>1002</v>
      </c>
      <c r="C20" s="16" t="s">
        <v>1004</v>
      </c>
      <c r="D20" s="46" t="s">
        <v>1051</v>
      </c>
      <c r="E20" s="16" t="s">
        <v>1013</v>
      </c>
      <c r="F20" s="16" t="s">
        <v>1022</v>
      </c>
      <c r="G20" s="16" t="s">
        <v>1024</v>
      </c>
      <c r="H20" s="21" t="s">
        <v>24</v>
      </c>
      <c r="I20" s="18" t="str">
        <f t="shared" si="15"/>
        <v>- 20</v>
      </c>
      <c r="J20" s="22" t="s">
        <v>22</v>
      </c>
      <c r="K20" s="126">
        <v>23322831936</v>
      </c>
      <c r="L20" s="126"/>
      <c r="M20" s="126">
        <f>+Tabla13[[#This Row],[PF INICIAL]]+Tabla13[[#This Row],[AJUSTE 1]]</f>
        <v>23322831936</v>
      </c>
    </row>
    <row r="21" spans="2:13" x14ac:dyDescent="0.2">
      <c r="B21" s="16"/>
      <c r="C21" s="16"/>
      <c r="D21" s="16"/>
      <c r="E21" s="16"/>
      <c r="F21" s="16"/>
      <c r="G21" s="16"/>
      <c r="H21" s="21" t="s">
        <v>25</v>
      </c>
      <c r="I21" s="18"/>
      <c r="J21" s="22" t="s">
        <v>26</v>
      </c>
      <c r="K21" s="150">
        <f>+K22</f>
        <v>5500000000</v>
      </c>
      <c r="L21" s="150">
        <f t="shared" ref="L21:M21" si="18">+L22</f>
        <v>0</v>
      </c>
      <c r="M21" s="150">
        <f t="shared" si="18"/>
        <v>5500000000</v>
      </c>
    </row>
    <row r="22" spans="2:13" x14ac:dyDescent="0.2">
      <c r="B22" s="16" t="s">
        <v>1002</v>
      </c>
      <c r="C22" s="16" t="s">
        <v>1004</v>
      </c>
      <c r="D22" s="46" t="s">
        <v>1051</v>
      </c>
      <c r="E22" s="16" t="s">
        <v>1013</v>
      </c>
      <c r="F22" s="16" t="s">
        <v>1022</v>
      </c>
      <c r="G22" s="16" t="s">
        <v>1024</v>
      </c>
      <c r="H22" s="21" t="s">
        <v>27</v>
      </c>
      <c r="I22" s="18" t="str">
        <f t="shared" si="15"/>
        <v>- 20</v>
      </c>
      <c r="J22" s="22" t="s">
        <v>26</v>
      </c>
      <c r="K22" s="126">
        <v>5500000000</v>
      </c>
      <c r="L22" s="126"/>
      <c r="M22" s="126">
        <f>+Tabla13[[#This Row],[PF INICIAL]]+Tabla13[[#This Row],[AJUSTE 1]]</f>
        <v>5500000000</v>
      </c>
    </row>
    <row r="23" spans="2:13" x14ac:dyDescent="0.2">
      <c r="B23" s="16"/>
      <c r="C23" s="16"/>
      <c r="D23" s="16"/>
      <c r="E23" s="16"/>
      <c r="F23" s="16"/>
      <c r="G23" s="16"/>
      <c r="H23" s="21" t="s">
        <v>28</v>
      </c>
      <c r="I23" s="18"/>
      <c r="J23" s="22" t="s">
        <v>29</v>
      </c>
      <c r="K23" s="150">
        <f>+K24</f>
        <v>4048770093</v>
      </c>
      <c r="L23" s="150">
        <f t="shared" ref="L23:M23" si="19">+L24</f>
        <v>0</v>
      </c>
      <c r="M23" s="150">
        <f t="shared" si="19"/>
        <v>4048770093</v>
      </c>
    </row>
    <row r="24" spans="2:13" x14ac:dyDescent="0.2">
      <c r="B24" s="16"/>
      <c r="C24" s="16"/>
      <c r="D24" s="16"/>
      <c r="E24" s="16"/>
      <c r="F24" s="16"/>
      <c r="G24" s="16"/>
      <c r="H24" s="21" t="s">
        <v>30</v>
      </c>
      <c r="I24" s="18"/>
      <c r="J24" s="22" t="s">
        <v>31</v>
      </c>
      <c r="K24" s="150">
        <f>+K25+K30</f>
        <v>4048770093</v>
      </c>
      <c r="L24" s="150">
        <f t="shared" ref="L24" si="20">+L25+L30</f>
        <v>0</v>
      </c>
      <c r="M24" s="150">
        <f t="shared" ref="M24" si="21">+M25+M30</f>
        <v>4048770093</v>
      </c>
    </row>
    <row r="25" spans="2:13" x14ac:dyDescent="0.2">
      <c r="B25" s="16"/>
      <c r="C25" s="16"/>
      <c r="D25" s="16"/>
      <c r="E25" s="16"/>
      <c r="F25" s="16"/>
      <c r="G25" s="16"/>
      <c r="H25" s="21" t="s">
        <v>32</v>
      </c>
      <c r="I25" s="18"/>
      <c r="J25" s="22" t="s">
        <v>33</v>
      </c>
      <c r="K25" s="150">
        <f>+K26+K27+K28+K29</f>
        <v>1713796671</v>
      </c>
      <c r="L25" s="150">
        <f t="shared" ref="L25" si="22">+L26+L27+L28+L29</f>
        <v>0</v>
      </c>
      <c r="M25" s="150">
        <f t="shared" ref="M25" si="23">+M26+M27+M28+M29</f>
        <v>1713796671</v>
      </c>
    </row>
    <row r="26" spans="2:13" ht="28.5" x14ac:dyDescent="0.2">
      <c r="B26" s="16" t="s">
        <v>1002</v>
      </c>
      <c r="C26" s="16" t="s">
        <v>1004</v>
      </c>
      <c r="D26" s="46" t="s">
        <v>1051</v>
      </c>
      <c r="E26" s="16" t="s">
        <v>1013</v>
      </c>
      <c r="F26" s="16" t="s">
        <v>1022</v>
      </c>
      <c r="G26" s="16" t="s">
        <v>1024</v>
      </c>
      <c r="H26" s="21" t="s">
        <v>34</v>
      </c>
      <c r="I26" s="18" t="str">
        <f t="shared" ref="I26:I34" si="24">RIGHT(H26,4)</f>
        <v>- 20</v>
      </c>
      <c r="J26" s="22" t="s">
        <v>35</v>
      </c>
      <c r="K26" s="126">
        <v>697904095</v>
      </c>
      <c r="L26" s="126"/>
      <c r="M26" s="126">
        <f>+Tabla13[[#This Row],[PF INICIAL]]+Tabla13[[#This Row],[AJUSTE 1]]</f>
        <v>697904095</v>
      </c>
    </row>
    <row r="27" spans="2:13" ht="28.5" x14ac:dyDescent="0.2">
      <c r="B27" s="16" t="s">
        <v>1002</v>
      </c>
      <c r="C27" s="16" t="s">
        <v>1004</v>
      </c>
      <c r="D27" s="46" t="s">
        <v>1051</v>
      </c>
      <c r="E27" s="16" t="s">
        <v>1015</v>
      </c>
      <c r="F27" s="16" t="s">
        <v>1022</v>
      </c>
      <c r="G27" s="16" t="s">
        <v>1024</v>
      </c>
      <c r="H27" s="21" t="s">
        <v>36</v>
      </c>
      <c r="I27" s="18" t="str">
        <f t="shared" si="24"/>
        <v>- 60</v>
      </c>
      <c r="J27" s="22" t="s">
        <v>35</v>
      </c>
      <c r="K27" s="126">
        <v>34895204</v>
      </c>
      <c r="L27" s="126"/>
      <c r="M27" s="126">
        <f>+Tabla13[[#This Row],[PF INICIAL]]+Tabla13[[#This Row],[AJUSTE 1]]</f>
        <v>34895204</v>
      </c>
    </row>
    <row r="28" spans="2:13" ht="28.5" x14ac:dyDescent="0.2">
      <c r="B28" s="16" t="s">
        <v>1002</v>
      </c>
      <c r="C28" s="16" t="s">
        <v>1004</v>
      </c>
      <c r="D28" s="46" t="s">
        <v>1051</v>
      </c>
      <c r="E28" s="16" t="s">
        <v>1013</v>
      </c>
      <c r="F28" s="16" t="s">
        <v>1022</v>
      </c>
      <c r="G28" s="16" t="s">
        <v>1024</v>
      </c>
      <c r="H28" s="21" t="s">
        <v>37</v>
      </c>
      <c r="I28" s="18" t="str">
        <f t="shared" si="24"/>
        <v>- 20</v>
      </c>
      <c r="J28" s="22" t="s">
        <v>38</v>
      </c>
      <c r="K28" s="126">
        <v>934283212</v>
      </c>
      <c r="L28" s="126"/>
      <c r="M28" s="126">
        <f>+Tabla13[[#This Row],[PF INICIAL]]+Tabla13[[#This Row],[AJUSTE 1]]</f>
        <v>934283212</v>
      </c>
    </row>
    <row r="29" spans="2:13" ht="28.5" x14ac:dyDescent="0.2">
      <c r="B29" s="16" t="s">
        <v>1002</v>
      </c>
      <c r="C29" s="16" t="s">
        <v>1004</v>
      </c>
      <c r="D29" s="46" t="s">
        <v>1051</v>
      </c>
      <c r="E29" s="16" t="s">
        <v>1015</v>
      </c>
      <c r="F29" s="16" t="s">
        <v>1022</v>
      </c>
      <c r="G29" s="16" t="s">
        <v>1024</v>
      </c>
      <c r="H29" s="21" t="s">
        <v>39</v>
      </c>
      <c r="I29" s="18" t="str">
        <f t="shared" si="24"/>
        <v>- 60</v>
      </c>
      <c r="J29" s="22" t="s">
        <v>38</v>
      </c>
      <c r="K29" s="126">
        <v>46714160</v>
      </c>
      <c r="L29" s="126"/>
      <c r="M29" s="126">
        <f>+Tabla13[[#This Row],[PF INICIAL]]+Tabla13[[#This Row],[AJUSTE 1]]</f>
        <v>46714160</v>
      </c>
    </row>
    <row r="30" spans="2:13" ht="28.5" x14ac:dyDescent="0.2">
      <c r="B30" s="16"/>
      <c r="C30" s="16"/>
      <c r="D30" s="16"/>
      <c r="E30" s="16"/>
      <c r="F30" s="16"/>
      <c r="G30" s="16"/>
      <c r="H30" s="21" t="s">
        <v>40</v>
      </c>
      <c r="I30" s="18"/>
      <c r="J30" s="22" t="s">
        <v>41</v>
      </c>
      <c r="K30" s="150">
        <f>+K31+K32+K33+K34</f>
        <v>2334973422</v>
      </c>
      <c r="L30" s="150">
        <f t="shared" ref="L30" si="25">+L31+L32+L33+L34</f>
        <v>0</v>
      </c>
      <c r="M30" s="150">
        <f t="shared" ref="M30" si="26">+M31+M32+M33+M34</f>
        <v>2334973422</v>
      </c>
    </row>
    <row r="31" spans="2:13" ht="28.5" x14ac:dyDescent="0.2">
      <c r="B31" s="16" t="s">
        <v>1002</v>
      </c>
      <c r="C31" s="16" t="s">
        <v>1004</v>
      </c>
      <c r="D31" s="46" t="s">
        <v>1051</v>
      </c>
      <c r="E31" s="16" t="s">
        <v>1013</v>
      </c>
      <c r="F31" s="16" t="s">
        <v>1022</v>
      </c>
      <c r="G31" s="16" t="s">
        <v>1024</v>
      </c>
      <c r="H31" s="21" t="s">
        <v>42</v>
      </c>
      <c r="I31" s="18" t="str">
        <f t="shared" si="24"/>
        <v>- 20</v>
      </c>
      <c r="J31" s="22" t="s">
        <v>43</v>
      </c>
      <c r="K31" s="126">
        <v>816873677</v>
      </c>
      <c r="L31" s="126"/>
      <c r="M31" s="126">
        <f>+Tabla13[[#This Row],[PF INICIAL]]+Tabla13[[#This Row],[AJUSTE 1]]</f>
        <v>816873677</v>
      </c>
    </row>
    <row r="32" spans="2:13" ht="28.5" x14ac:dyDescent="0.2">
      <c r="B32" s="16" t="s">
        <v>1002</v>
      </c>
      <c r="C32" s="16" t="s">
        <v>1004</v>
      </c>
      <c r="D32" s="46" t="s">
        <v>1051</v>
      </c>
      <c r="E32" s="16" t="s">
        <v>1015</v>
      </c>
      <c r="F32" s="16" t="s">
        <v>1022</v>
      </c>
      <c r="G32" s="16" t="s">
        <v>1024</v>
      </c>
      <c r="H32" s="21" t="s">
        <v>44</v>
      </c>
      <c r="I32" s="18" t="str">
        <f t="shared" si="24"/>
        <v>- 60</v>
      </c>
      <c r="J32" s="22" t="s">
        <v>43</v>
      </c>
      <c r="K32" s="126">
        <v>40843683</v>
      </c>
      <c r="L32" s="126"/>
      <c r="M32" s="126">
        <f>+Tabla13[[#This Row],[PF INICIAL]]+Tabla13[[#This Row],[AJUSTE 1]]</f>
        <v>40843683</v>
      </c>
    </row>
    <row r="33" spans="2:13" ht="28.5" x14ac:dyDescent="0.2">
      <c r="B33" s="16" t="s">
        <v>1002</v>
      </c>
      <c r="C33" s="16" t="s">
        <v>1004</v>
      </c>
      <c r="D33" s="46" t="s">
        <v>1051</v>
      </c>
      <c r="E33" s="16" t="s">
        <v>1013</v>
      </c>
      <c r="F33" s="16" t="s">
        <v>1022</v>
      </c>
      <c r="G33" s="16" t="s">
        <v>1024</v>
      </c>
      <c r="H33" s="21" t="s">
        <v>45</v>
      </c>
      <c r="I33" s="18" t="str">
        <f t="shared" si="24"/>
        <v>- 20</v>
      </c>
      <c r="J33" s="22" t="s">
        <v>46</v>
      </c>
      <c r="K33" s="126">
        <v>1406910536</v>
      </c>
      <c r="L33" s="126"/>
      <c r="M33" s="126">
        <f>+Tabla13[[#This Row],[PF INICIAL]]+Tabla13[[#This Row],[AJUSTE 1]]</f>
        <v>1406910536</v>
      </c>
    </row>
    <row r="34" spans="2:13" ht="28.5" x14ac:dyDescent="0.2">
      <c r="B34" s="16" t="s">
        <v>1002</v>
      </c>
      <c r="C34" s="16" t="s">
        <v>1004</v>
      </c>
      <c r="D34" s="46" t="s">
        <v>1051</v>
      </c>
      <c r="E34" s="16" t="s">
        <v>1015</v>
      </c>
      <c r="F34" s="16" t="s">
        <v>1022</v>
      </c>
      <c r="G34" s="16" t="s">
        <v>1024</v>
      </c>
      <c r="H34" s="21" t="s">
        <v>47</v>
      </c>
      <c r="I34" s="18" t="str">
        <f t="shared" si="24"/>
        <v>- 60</v>
      </c>
      <c r="J34" s="22" t="s">
        <v>46</v>
      </c>
      <c r="K34" s="126">
        <v>70345526</v>
      </c>
      <c r="L34" s="126"/>
      <c r="M34" s="126">
        <f>+Tabla13[[#This Row],[PF INICIAL]]+Tabla13[[#This Row],[AJUSTE 1]]</f>
        <v>70345526</v>
      </c>
    </row>
    <row r="35" spans="2:13" x14ac:dyDescent="0.2">
      <c r="B35" s="16"/>
      <c r="C35" s="16"/>
      <c r="D35" s="16"/>
      <c r="E35" s="16"/>
      <c r="F35" s="16"/>
      <c r="G35" s="16"/>
      <c r="H35" s="21" t="s">
        <v>48</v>
      </c>
      <c r="I35" s="18"/>
      <c r="J35" s="22" t="s">
        <v>49</v>
      </c>
      <c r="K35" s="150">
        <f>+K36+K38</f>
        <v>93466493227</v>
      </c>
      <c r="L35" s="150">
        <f t="shared" ref="L35" si="27">+L36+L38</f>
        <v>0</v>
      </c>
      <c r="M35" s="150">
        <f t="shared" ref="M35" si="28">+M36+M38</f>
        <v>93466493227</v>
      </c>
    </row>
    <row r="36" spans="2:13" x14ac:dyDescent="0.2">
      <c r="B36" s="16"/>
      <c r="C36" s="16"/>
      <c r="D36" s="16"/>
      <c r="E36" s="16"/>
      <c r="F36" s="16"/>
      <c r="G36" s="16"/>
      <c r="H36" s="21" t="s">
        <v>50</v>
      </c>
      <c r="I36" s="18"/>
      <c r="J36" s="22" t="s">
        <v>51</v>
      </c>
      <c r="K36" s="150">
        <f>+K37</f>
        <v>93383153227</v>
      </c>
      <c r="L36" s="150">
        <f t="shared" ref="L36:M36" si="29">+L37</f>
        <v>0</v>
      </c>
      <c r="M36" s="150">
        <f t="shared" si="29"/>
        <v>93383153227</v>
      </c>
    </row>
    <row r="37" spans="2:13" x14ac:dyDescent="0.2">
      <c r="B37" s="16" t="s">
        <v>1002</v>
      </c>
      <c r="C37" s="16" t="s">
        <v>1004</v>
      </c>
      <c r="D37" s="46" t="s">
        <v>1051</v>
      </c>
      <c r="E37" s="16" t="s">
        <v>1013</v>
      </c>
      <c r="F37" s="16" t="s">
        <v>1022</v>
      </c>
      <c r="G37" s="16" t="s">
        <v>1024</v>
      </c>
      <c r="H37" s="21" t="s">
        <v>52</v>
      </c>
      <c r="I37" s="18" t="str">
        <f>RIGHT(H37,4)</f>
        <v>- 20</v>
      </c>
      <c r="J37" s="22" t="s">
        <v>51</v>
      </c>
      <c r="K37" s="126">
        <v>93383153227</v>
      </c>
      <c r="L37" s="126"/>
      <c r="M37" s="126">
        <f>+Tabla13[[#This Row],[PF INICIAL]]+Tabla13[[#This Row],[AJUSTE 1]]</f>
        <v>93383153227</v>
      </c>
    </row>
    <row r="38" spans="2:13" x14ac:dyDescent="0.2">
      <c r="B38" s="16"/>
      <c r="C38" s="16"/>
      <c r="D38" s="16"/>
      <c r="E38" s="16"/>
      <c r="F38" s="16"/>
      <c r="G38" s="16"/>
      <c r="H38" s="21" t="s">
        <v>53</v>
      </c>
      <c r="I38" s="18"/>
      <c r="J38" s="22" t="s">
        <v>54</v>
      </c>
      <c r="K38" s="150">
        <f>+K39</f>
        <v>83340000</v>
      </c>
      <c r="L38" s="150">
        <f t="shared" ref="L38:M38" si="30">+L39</f>
        <v>0</v>
      </c>
      <c r="M38" s="150">
        <f t="shared" si="30"/>
        <v>83340000</v>
      </c>
    </row>
    <row r="39" spans="2:13" x14ac:dyDescent="0.2">
      <c r="B39" s="16" t="s">
        <v>1002</v>
      </c>
      <c r="C39" s="16" t="s">
        <v>1004</v>
      </c>
      <c r="D39" s="46" t="s">
        <v>1051</v>
      </c>
      <c r="E39" s="16" t="s">
        <v>1013</v>
      </c>
      <c r="F39" s="16" t="s">
        <v>1022</v>
      </c>
      <c r="G39" s="16" t="s">
        <v>1024</v>
      </c>
      <c r="H39" s="21" t="s">
        <v>55</v>
      </c>
      <c r="I39" s="18" t="str">
        <f>RIGHT(H39,4)</f>
        <v>- 20</v>
      </c>
      <c r="J39" s="22" t="s">
        <v>54</v>
      </c>
      <c r="K39" s="126">
        <v>83340000</v>
      </c>
      <c r="L39" s="126"/>
      <c r="M39" s="126">
        <f>+Tabla13[[#This Row],[PF INICIAL]]+Tabla13[[#This Row],[AJUSTE 1]]</f>
        <v>83340000</v>
      </c>
    </row>
    <row r="40" spans="2:13" x14ac:dyDescent="0.2">
      <c r="B40" s="16"/>
      <c r="C40" s="16"/>
      <c r="D40" s="16"/>
      <c r="E40" s="16"/>
      <c r="F40" s="16"/>
      <c r="G40" s="16"/>
      <c r="H40" s="21" t="s">
        <v>56</v>
      </c>
      <c r="I40" s="18"/>
      <c r="J40" s="22" t="s">
        <v>57</v>
      </c>
      <c r="K40" s="150">
        <f>+K41</f>
        <v>14568136284</v>
      </c>
      <c r="L40" s="150">
        <f t="shared" ref="L40:M41" si="31">+L41</f>
        <v>0</v>
      </c>
      <c r="M40" s="150">
        <f t="shared" si="31"/>
        <v>14568136284</v>
      </c>
    </row>
    <row r="41" spans="2:13" x14ac:dyDescent="0.2">
      <c r="B41" s="16"/>
      <c r="C41" s="16"/>
      <c r="D41" s="16"/>
      <c r="E41" s="16"/>
      <c r="F41" s="16"/>
      <c r="G41" s="16"/>
      <c r="H41" s="21" t="s">
        <v>58</v>
      </c>
      <c r="I41" s="18"/>
      <c r="J41" s="22" t="s">
        <v>59</v>
      </c>
      <c r="K41" s="150">
        <f>+K42</f>
        <v>14568136284</v>
      </c>
      <c r="L41" s="150">
        <f t="shared" si="31"/>
        <v>0</v>
      </c>
      <c r="M41" s="150">
        <f t="shared" si="31"/>
        <v>14568136284</v>
      </c>
    </row>
    <row r="42" spans="2:13" ht="28.5" x14ac:dyDescent="0.2">
      <c r="B42" s="16"/>
      <c r="C42" s="16"/>
      <c r="D42" s="16"/>
      <c r="E42" s="16"/>
      <c r="F42" s="16"/>
      <c r="G42" s="16"/>
      <c r="H42" s="21" t="s">
        <v>60</v>
      </c>
      <c r="I42" s="18"/>
      <c r="J42" s="22" t="s">
        <v>61</v>
      </c>
      <c r="K42" s="150">
        <f>+K43+K44</f>
        <v>14568136284</v>
      </c>
      <c r="L42" s="150">
        <f t="shared" ref="L42" si="32">+L43+L44</f>
        <v>0</v>
      </c>
      <c r="M42" s="150">
        <f t="shared" ref="M42" si="33">+M43+M44</f>
        <v>14568136284</v>
      </c>
    </row>
    <row r="43" spans="2:13" ht="28.5" x14ac:dyDescent="0.2">
      <c r="B43" s="16" t="s">
        <v>1002</v>
      </c>
      <c r="C43" s="16" t="s">
        <v>1004</v>
      </c>
      <c r="D43" s="46" t="s">
        <v>1051</v>
      </c>
      <c r="E43" s="16" t="s">
        <v>1013</v>
      </c>
      <c r="F43" s="16" t="s">
        <v>1022</v>
      </c>
      <c r="G43" s="16" t="s">
        <v>1024</v>
      </c>
      <c r="H43" s="21" t="s">
        <v>62</v>
      </c>
      <c r="I43" s="18" t="str">
        <f t="shared" ref="I43:I57" si="34">RIGHT(H43,4)</f>
        <v>- 20</v>
      </c>
      <c r="J43" s="22" t="s">
        <v>61</v>
      </c>
      <c r="K43" s="126">
        <v>12237234479</v>
      </c>
      <c r="L43" s="126"/>
      <c r="M43" s="126">
        <f>+Tabla13[[#This Row],[PF INICIAL]]+Tabla13[[#This Row],[AJUSTE 1]]</f>
        <v>12237234479</v>
      </c>
    </row>
    <row r="44" spans="2:13" ht="28.5" x14ac:dyDescent="0.2">
      <c r="B44" s="16" t="s">
        <v>1002</v>
      </c>
      <c r="C44" s="16" t="s">
        <v>1004</v>
      </c>
      <c r="D44" s="46" t="s">
        <v>1051</v>
      </c>
      <c r="E44" s="16" t="s">
        <v>1015</v>
      </c>
      <c r="F44" s="16" t="s">
        <v>1022</v>
      </c>
      <c r="G44" s="16" t="s">
        <v>1024</v>
      </c>
      <c r="H44" s="21" t="s">
        <v>63</v>
      </c>
      <c r="I44" s="18" t="str">
        <f t="shared" si="34"/>
        <v>- 58</v>
      </c>
      <c r="J44" s="22" t="s">
        <v>61</v>
      </c>
      <c r="K44" s="126">
        <v>2330901805</v>
      </c>
      <c r="L44" s="126"/>
      <c r="M44" s="126">
        <f>+Tabla13[[#This Row],[PF INICIAL]]+Tabla13[[#This Row],[AJUSTE 1]]</f>
        <v>2330901805</v>
      </c>
    </row>
    <row r="45" spans="2:13" x14ac:dyDescent="0.2">
      <c r="B45" s="16"/>
      <c r="C45" s="16"/>
      <c r="D45" s="16"/>
      <c r="E45" s="16"/>
      <c r="F45" s="16"/>
      <c r="G45" s="16"/>
      <c r="H45" s="21" t="s">
        <v>64</v>
      </c>
      <c r="I45" s="18"/>
      <c r="J45" s="22" t="s">
        <v>65</v>
      </c>
      <c r="K45" s="150">
        <f>+K46+K47</f>
        <v>23618883451</v>
      </c>
      <c r="L45" s="150">
        <f t="shared" ref="L45" si="35">+L46+L47</f>
        <v>0</v>
      </c>
      <c r="M45" s="150">
        <f t="shared" ref="M45" si="36">+M46+M47</f>
        <v>23618883451</v>
      </c>
    </row>
    <row r="46" spans="2:13" x14ac:dyDescent="0.2">
      <c r="B46" s="16" t="s">
        <v>1002</v>
      </c>
      <c r="C46" s="16" t="s">
        <v>1004</v>
      </c>
      <c r="D46" s="46" t="s">
        <v>1051</v>
      </c>
      <c r="E46" s="16" t="s">
        <v>1013</v>
      </c>
      <c r="F46" s="16" t="s">
        <v>1022</v>
      </c>
      <c r="G46" s="16" t="s">
        <v>1024</v>
      </c>
      <c r="H46" s="21" t="s">
        <v>66</v>
      </c>
      <c r="I46" s="18" t="str">
        <f t="shared" si="34"/>
        <v>- 20</v>
      </c>
      <c r="J46" s="22" t="s">
        <v>65</v>
      </c>
      <c r="K46" s="126">
        <v>22437939279</v>
      </c>
      <c r="L46" s="126"/>
      <c r="M46" s="126">
        <f>+Tabla13[[#This Row],[PF INICIAL]]+Tabla13[[#This Row],[AJUSTE 1]]</f>
        <v>22437939279</v>
      </c>
    </row>
    <row r="47" spans="2:13" x14ac:dyDescent="0.2">
      <c r="B47" s="16" t="s">
        <v>1002</v>
      </c>
      <c r="C47" s="16" t="s">
        <v>1004</v>
      </c>
      <c r="D47" s="46" t="s">
        <v>1051</v>
      </c>
      <c r="E47" s="16" t="s">
        <v>1015</v>
      </c>
      <c r="F47" s="16" t="s">
        <v>1022</v>
      </c>
      <c r="G47" s="16" t="s">
        <v>1024</v>
      </c>
      <c r="H47" s="21" t="s">
        <v>67</v>
      </c>
      <c r="I47" s="18" t="str">
        <f t="shared" si="34"/>
        <v>- 52</v>
      </c>
      <c r="J47" s="22" t="s">
        <v>65</v>
      </c>
      <c r="K47" s="126">
        <v>1180944172</v>
      </c>
      <c r="L47" s="126"/>
      <c r="M47" s="126">
        <f>+Tabla13[[#This Row],[PF INICIAL]]+Tabla13[[#This Row],[AJUSTE 1]]</f>
        <v>1180944172</v>
      </c>
    </row>
    <row r="48" spans="2:13" x14ac:dyDescent="0.2">
      <c r="B48" s="16"/>
      <c r="C48" s="16"/>
      <c r="D48" s="16"/>
      <c r="E48" s="16"/>
      <c r="F48" s="16"/>
      <c r="G48" s="16"/>
      <c r="H48" s="21" t="s">
        <v>68</v>
      </c>
      <c r="I48" s="18"/>
      <c r="J48" s="22" t="s">
        <v>69</v>
      </c>
      <c r="K48" s="150">
        <f>+K49</f>
        <v>17445464709</v>
      </c>
      <c r="L48" s="150">
        <f t="shared" ref="L48:M48" si="37">+L49</f>
        <v>0</v>
      </c>
      <c r="M48" s="150">
        <f t="shared" si="37"/>
        <v>17445464709</v>
      </c>
    </row>
    <row r="49" spans="2:13" x14ac:dyDescent="0.2">
      <c r="B49" s="16" t="s">
        <v>1002</v>
      </c>
      <c r="C49" s="16" t="s">
        <v>1004</v>
      </c>
      <c r="D49" s="46" t="s">
        <v>1051</v>
      </c>
      <c r="E49" s="16" t="s">
        <v>1015</v>
      </c>
      <c r="F49" s="16" t="s">
        <v>1022</v>
      </c>
      <c r="G49" s="16" t="s">
        <v>1024</v>
      </c>
      <c r="H49" s="21" t="s">
        <v>70</v>
      </c>
      <c r="I49" s="18" t="str">
        <f t="shared" si="34"/>
        <v>- 61</v>
      </c>
      <c r="J49" s="22" t="s">
        <v>69</v>
      </c>
      <c r="K49" s="126">
        <v>17445464709</v>
      </c>
      <c r="L49" s="126"/>
      <c r="M49" s="126">
        <f>+Tabla13[[#This Row],[PF INICIAL]]+Tabla13[[#This Row],[AJUSTE 1]]</f>
        <v>17445464709</v>
      </c>
    </row>
    <row r="50" spans="2:13" s="13" customFormat="1" ht="15" x14ac:dyDescent="0.25">
      <c r="B50" s="24"/>
      <c r="C50" s="24"/>
      <c r="D50" s="24"/>
      <c r="E50" s="24"/>
      <c r="F50" s="24"/>
      <c r="G50" s="24"/>
      <c r="H50" s="17" t="s">
        <v>71</v>
      </c>
      <c r="I50" s="18"/>
      <c r="J50" s="19" t="s">
        <v>72</v>
      </c>
      <c r="K50" s="152">
        <f>+K51+K52+K53+K54+K55+K56+K57+K58</f>
        <v>113665062558</v>
      </c>
      <c r="L50" s="152">
        <f t="shared" ref="L50" si="38">+L51+L52+L53+L54+L55+L56+L57+L58</f>
        <v>0</v>
      </c>
      <c r="M50" s="152">
        <f t="shared" ref="M50" si="39">+M51+M52+M53+M54+M55+M56+M57+M58</f>
        <v>113665062558</v>
      </c>
    </row>
    <row r="51" spans="2:13" x14ac:dyDescent="0.2">
      <c r="B51" s="16" t="s">
        <v>1002</v>
      </c>
      <c r="C51" s="16" t="s">
        <v>1004</v>
      </c>
      <c r="D51" s="46" t="s">
        <v>1051</v>
      </c>
      <c r="E51" s="16" t="s">
        <v>1016</v>
      </c>
      <c r="F51" s="16" t="s">
        <v>1022</v>
      </c>
      <c r="G51" s="16" t="s">
        <v>1024</v>
      </c>
      <c r="H51" s="21" t="s">
        <v>73</v>
      </c>
      <c r="I51" s="18" t="str">
        <f t="shared" si="34"/>
        <v>- 08</v>
      </c>
      <c r="J51" s="22" t="s">
        <v>74</v>
      </c>
      <c r="K51" s="126">
        <v>13710176465</v>
      </c>
      <c r="L51" s="126"/>
      <c r="M51" s="126">
        <f>+Tabla13[[#This Row],[PF INICIAL]]+Tabla13[[#This Row],[AJUSTE 1]]</f>
        <v>13710176465</v>
      </c>
    </row>
    <row r="52" spans="2:13" x14ac:dyDescent="0.2">
      <c r="B52" s="16" t="s">
        <v>1002</v>
      </c>
      <c r="C52" s="16" t="s">
        <v>1004</v>
      </c>
      <c r="D52" s="46" t="s">
        <v>1051</v>
      </c>
      <c r="E52" s="16" t="s">
        <v>1016</v>
      </c>
      <c r="F52" s="16" t="s">
        <v>1022</v>
      </c>
      <c r="G52" s="16" t="s">
        <v>1024</v>
      </c>
      <c r="H52" s="21" t="s">
        <v>75</v>
      </c>
      <c r="I52" s="18" t="str">
        <f t="shared" si="34"/>
        <v>- 04</v>
      </c>
      <c r="J52" s="22" t="s">
        <v>76</v>
      </c>
      <c r="K52" s="126">
        <v>17137544471</v>
      </c>
      <c r="L52" s="126"/>
      <c r="M52" s="126">
        <f>+Tabla13[[#This Row],[PF INICIAL]]+Tabla13[[#This Row],[AJUSTE 1]]</f>
        <v>17137544471</v>
      </c>
    </row>
    <row r="53" spans="2:13" x14ac:dyDescent="0.2">
      <c r="B53" s="16" t="s">
        <v>1002</v>
      </c>
      <c r="C53" s="16" t="s">
        <v>1004</v>
      </c>
      <c r="D53" s="46" t="s">
        <v>1051</v>
      </c>
      <c r="E53" s="16" t="s">
        <v>1016</v>
      </c>
      <c r="F53" s="16" t="s">
        <v>1022</v>
      </c>
      <c r="G53" s="16" t="s">
        <v>1024</v>
      </c>
      <c r="H53" s="21" t="s">
        <v>77</v>
      </c>
      <c r="I53" s="18" t="str">
        <f t="shared" si="34"/>
        <v>- 05</v>
      </c>
      <c r="J53" s="22" t="s">
        <v>78</v>
      </c>
      <c r="K53" s="126">
        <v>8660166246</v>
      </c>
      <c r="L53" s="126"/>
      <c r="M53" s="126">
        <f>+Tabla13[[#This Row],[PF INICIAL]]+Tabla13[[#This Row],[AJUSTE 1]]</f>
        <v>8660166246</v>
      </c>
    </row>
    <row r="54" spans="2:13" x14ac:dyDescent="0.2">
      <c r="B54" s="16" t="s">
        <v>1002</v>
      </c>
      <c r="C54" s="16" t="s">
        <v>1004</v>
      </c>
      <c r="D54" s="46" t="s">
        <v>1051</v>
      </c>
      <c r="E54" s="16" t="s">
        <v>1016</v>
      </c>
      <c r="F54" s="16" t="s">
        <v>1022</v>
      </c>
      <c r="G54" s="16" t="s">
        <v>1024</v>
      </c>
      <c r="H54" s="21" t="s">
        <v>79</v>
      </c>
      <c r="I54" s="18" t="str">
        <f t="shared" si="34"/>
        <v>- 45</v>
      </c>
      <c r="J54" s="22" t="s">
        <v>80</v>
      </c>
      <c r="K54" s="126">
        <v>17722331469</v>
      </c>
      <c r="L54" s="126"/>
      <c r="M54" s="126">
        <f>+Tabla13[[#This Row],[PF INICIAL]]+Tabla13[[#This Row],[AJUSTE 1]]</f>
        <v>17722331469</v>
      </c>
    </row>
    <row r="55" spans="2:13" x14ac:dyDescent="0.2">
      <c r="B55" s="16" t="s">
        <v>1002</v>
      </c>
      <c r="C55" s="16" t="s">
        <v>1004</v>
      </c>
      <c r="D55" s="46" t="s">
        <v>1051</v>
      </c>
      <c r="E55" s="16" t="s">
        <v>1016</v>
      </c>
      <c r="F55" s="16" t="s">
        <v>1022</v>
      </c>
      <c r="G55" s="16" t="s">
        <v>1024</v>
      </c>
      <c r="H55" s="21" t="s">
        <v>81</v>
      </c>
      <c r="I55" s="18" t="str">
        <f t="shared" si="34"/>
        <v xml:space="preserve"> 06A</v>
      </c>
      <c r="J55" s="22" t="s">
        <v>82</v>
      </c>
      <c r="K55" s="1">
        <v>29508800000</v>
      </c>
      <c r="L55" s="1"/>
      <c r="M55" s="126">
        <f>+Tabla13[[#This Row],[PF INICIAL]]+Tabla13[[#This Row],[AJUSTE 1]]</f>
        <v>29508800000</v>
      </c>
    </row>
    <row r="56" spans="2:13" x14ac:dyDescent="0.2">
      <c r="B56" s="16" t="s">
        <v>1002</v>
      </c>
      <c r="C56" s="16" t="s">
        <v>1004</v>
      </c>
      <c r="D56" s="46" t="s">
        <v>1051</v>
      </c>
      <c r="E56" s="16" t="s">
        <v>1016</v>
      </c>
      <c r="F56" s="16" t="s">
        <v>1022</v>
      </c>
      <c r="G56" s="16" t="s">
        <v>1024</v>
      </c>
      <c r="H56" s="21" t="s">
        <v>965</v>
      </c>
      <c r="I56" s="18" t="s">
        <v>877</v>
      </c>
      <c r="J56" s="22" t="s">
        <v>82</v>
      </c>
      <c r="K56" s="1">
        <v>1350000000</v>
      </c>
      <c r="L56" s="1"/>
      <c r="M56" s="126">
        <f>+Tabla13[[#This Row],[PF INICIAL]]+Tabla13[[#This Row],[AJUSTE 1]]</f>
        <v>1350000000</v>
      </c>
    </row>
    <row r="57" spans="2:13" ht="15" customHeight="1" x14ac:dyDescent="0.2">
      <c r="B57" s="16" t="s">
        <v>1002</v>
      </c>
      <c r="C57" s="16" t="s">
        <v>1004</v>
      </c>
      <c r="D57" s="46" t="s">
        <v>1051</v>
      </c>
      <c r="E57" s="16" t="s">
        <v>1016</v>
      </c>
      <c r="F57" s="16" t="s">
        <v>1022</v>
      </c>
      <c r="G57" s="16" t="s">
        <v>1024</v>
      </c>
      <c r="H57" s="21" t="s">
        <v>83</v>
      </c>
      <c r="I57" s="18" t="str">
        <f t="shared" si="34"/>
        <v xml:space="preserve"> 12A</v>
      </c>
      <c r="J57" s="22" t="s">
        <v>84</v>
      </c>
      <c r="K57" s="126">
        <v>15379328550</v>
      </c>
      <c r="L57" s="126"/>
      <c r="M57" s="126">
        <f>+Tabla13[[#This Row],[PF INICIAL]]+Tabla13[[#This Row],[AJUSTE 1]]</f>
        <v>15379328550</v>
      </c>
    </row>
    <row r="58" spans="2:13" ht="15" customHeight="1" x14ac:dyDescent="0.2">
      <c r="B58" s="16" t="s">
        <v>1002</v>
      </c>
      <c r="C58" s="16" t="s">
        <v>1004</v>
      </c>
      <c r="D58" s="46" t="s">
        <v>1051</v>
      </c>
      <c r="E58" s="16" t="s">
        <v>1016</v>
      </c>
      <c r="F58" s="16" t="s">
        <v>1022</v>
      </c>
      <c r="G58" s="16" t="s">
        <v>1024</v>
      </c>
      <c r="H58" s="21" t="s">
        <v>991</v>
      </c>
      <c r="I58" s="18">
        <v>47</v>
      </c>
      <c r="J58" s="22" t="s">
        <v>968</v>
      </c>
      <c r="K58" s="126">
        <v>10196715357</v>
      </c>
      <c r="L58" s="126"/>
      <c r="M58" s="126">
        <f>+Tabla13[[#This Row],[PF INICIAL]]+Tabla13[[#This Row],[AJUSTE 1]]</f>
        <v>10196715357</v>
      </c>
    </row>
    <row r="59" spans="2:13" s="13" customFormat="1" ht="15.75" customHeight="1" x14ac:dyDescent="0.25">
      <c r="B59" s="24"/>
      <c r="C59" s="24"/>
      <c r="D59" s="24"/>
      <c r="E59" s="24"/>
      <c r="F59" s="24"/>
      <c r="G59" s="24"/>
      <c r="H59" s="17" t="s">
        <v>85</v>
      </c>
      <c r="I59" s="18"/>
      <c r="J59" s="19" t="s">
        <v>86</v>
      </c>
      <c r="K59" s="152">
        <f>+K60+K64+K73+K99+K116</f>
        <v>59311510793</v>
      </c>
      <c r="L59" s="152">
        <f t="shared" ref="L59" si="40">+L60+L64+L73+L99+L116</f>
        <v>0</v>
      </c>
      <c r="M59" s="152">
        <f t="shared" ref="M59" si="41">+M60+M64+M73+M99+M116</f>
        <v>59311510793</v>
      </c>
    </row>
    <row r="60" spans="2:13" s="13" customFormat="1" ht="15.75" customHeight="1" x14ac:dyDescent="0.25">
      <c r="B60" s="24"/>
      <c r="C60" s="24"/>
      <c r="D60" s="24"/>
      <c r="E60" s="24"/>
      <c r="F60" s="24"/>
      <c r="G60" s="24"/>
      <c r="H60" s="17" t="s">
        <v>87</v>
      </c>
      <c r="I60" s="18"/>
      <c r="J60" s="19" t="s">
        <v>88</v>
      </c>
      <c r="K60" s="152">
        <f t="shared" ref="K60:M62" si="42">+K61</f>
        <v>757040488</v>
      </c>
      <c r="L60" s="152">
        <f t="shared" si="42"/>
        <v>0</v>
      </c>
      <c r="M60" s="152">
        <f t="shared" si="42"/>
        <v>757040488</v>
      </c>
    </row>
    <row r="61" spans="2:13" ht="15" customHeight="1" x14ac:dyDescent="0.2">
      <c r="B61" s="16"/>
      <c r="C61" s="16"/>
      <c r="D61" s="16"/>
      <c r="E61" s="16"/>
      <c r="F61" s="16"/>
      <c r="G61" s="16"/>
      <c r="H61" s="21" t="s">
        <v>89</v>
      </c>
      <c r="I61" s="18"/>
      <c r="J61" s="22" t="s">
        <v>90</v>
      </c>
      <c r="K61" s="150">
        <f t="shared" si="42"/>
        <v>757040488</v>
      </c>
      <c r="L61" s="150">
        <f t="shared" si="42"/>
        <v>0</v>
      </c>
      <c r="M61" s="150">
        <f t="shared" si="42"/>
        <v>757040488</v>
      </c>
    </row>
    <row r="62" spans="2:13" ht="15" customHeight="1" x14ac:dyDescent="0.2">
      <c r="B62" s="16"/>
      <c r="C62" s="16"/>
      <c r="D62" s="16"/>
      <c r="E62" s="16"/>
      <c r="F62" s="16"/>
      <c r="G62" s="16"/>
      <c r="H62" s="21" t="s">
        <v>91</v>
      </c>
      <c r="I62" s="18"/>
      <c r="J62" s="22" t="s">
        <v>92</v>
      </c>
      <c r="K62" s="150">
        <f>+K63</f>
        <v>757040488</v>
      </c>
      <c r="L62" s="150">
        <f t="shared" si="42"/>
        <v>0</v>
      </c>
      <c r="M62" s="150">
        <f t="shared" si="42"/>
        <v>757040488</v>
      </c>
    </row>
    <row r="63" spans="2:13" ht="15" customHeight="1" x14ac:dyDescent="0.2">
      <c r="B63" s="16" t="s">
        <v>1002</v>
      </c>
      <c r="C63" s="16" t="s">
        <v>1004</v>
      </c>
      <c r="D63" s="46" t="s">
        <v>1051</v>
      </c>
      <c r="E63" s="16" t="s">
        <v>1015</v>
      </c>
      <c r="F63" s="16" t="s">
        <v>1022</v>
      </c>
      <c r="G63" s="16" t="s">
        <v>1025</v>
      </c>
      <c r="H63" s="21" t="s">
        <v>93</v>
      </c>
      <c r="I63" s="18" t="str">
        <f>RIGHT(H63,4)</f>
        <v>- 18</v>
      </c>
      <c r="J63" s="22" t="s">
        <v>92</v>
      </c>
      <c r="K63" s="126">
        <v>757040488</v>
      </c>
      <c r="L63" s="126"/>
      <c r="M63" s="126">
        <f>+Tabla13[[#This Row],[PF INICIAL]]+Tabla13[[#This Row],[AJUSTE 1]]</f>
        <v>757040488</v>
      </c>
    </row>
    <row r="64" spans="2:13" s="13" customFormat="1" ht="15.75" customHeight="1" x14ac:dyDescent="0.25">
      <c r="B64" s="24"/>
      <c r="C64" s="24"/>
      <c r="D64" s="24"/>
      <c r="E64" s="24"/>
      <c r="F64" s="24"/>
      <c r="G64" s="24"/>
      <c r="H64" s="17" t="s">
        <v>94</v>
      </c>
      <c r="I64" s="18"/>
      <c r="J64" s="19" t="s">
        <v>95</v>
      </c>
      <c r="K64" s="152">
        <f>+K65+K71</f>
        <v>1532988480</v>
      </c>
      <c r="L64" s="152">
        <f t="shared" ref="L64" si="43">+L65+L71</f>
        <v>0</v>
      </c>
      <c r="M64" s="152">
        <f t="shared" ref="M64" si="44">+M65+M71</f>
        <v>1532988480</v>
      </c>
    </row>
    <row r="65" spans="2:13" ht="15" customHeight="1" x14ac:dyDescent="0.2">
      <c r="B65" s="16"/>
      <c r="C65" s="16"/>
      <c r="D65" s="16"/>
      <c r="E65" s="16"/>
      <c r="F65" s="16"/>
      <c r="G65" s="16"/>
      <c r="H65" s="21" t="s">
        <v>96</v>
      </c>
      <c r="I65" s="18"/>
      <c r="J65" s="22" t="s">
        <v>97</v>
      </c>
      <c r="K65" s="150">
        <f>+K66+K67+K68+K69+K70</f>
        <v>732988480</v>
      </c>
      <c r="L65" s="150">
        <f t="shared" ref="L65" si="45">+L66+L67+L68+L69+L70</f>
        <v>0</v>
      </c>
      <c r="M65" s="150">
        <f t="shared" ref="M65" si="46">+M66+M67+M68+M69+M70</f>
        <v>732988480</v>
      </c>
    </row>
    <row r="66" spans="2:13" ht="15" customHeight="1" x14ac:dyDescent="0.2">
      <c r="B66" s="16" t="s">
        <v>1002</v>
      </c>
      <c r="C66" s="16" t="s">
        <v>1004</v>
      </c>
      <c r="D66" s="46" t="s">
        <v>1051</v>
      </c>
      <c r="E66" s="16" t="s">
        <v>1013</v>
      </c>
      <c r="F66" s="16" t="s">
        <v>1022</v>
      </c>
      <c r="G66" s="16" t="s">
        <v>1025</v>
      </c>
      <c r="H66" s="21" t="s">
        <v>98</v>
      </c>
      <c r="I66" s="18" t="str">
        <f t="shared" ref="I66:I72" si="47">RIGHT(H66,4)</f>
        <v>- 20</v>
      </c>
      <c r="J66" s="22" t="s">
        <v>99</v>
      </c>
      <c r="K66" s="126">
        <v>24752070</v>
      </c>
      <c r="L66" s="126"/>
      <c r="M66" s="126">
        <f>+Tabla13[[#This Row],[PF INICIAL]]+Tabla13[[#This Row],[AJUSTE 1]]</f>
        <v>24752070</v>
      </c>
    </row>
    <row r="67" spans="2:13" ht="15" customHeight="1" x14ac:dyDescent="0.2">
      <c r="B67" s="16" t="s">
        <v>1002</v>
      </c>
      <c r="C67" s="16" t="s">
        <v>1004</v>
      </c>
      <c r="D67" s="46" t="s">
        <v>1051</v>
      </c>
      <c r="E67" s="16" t="s">
        <v>1013</v>
      </c>
      <c r="F67" s="16" t="s">
        <v>1022</v>
      </c>
      <c r="G67" s="16" t="s">
        <v>1025</v>
      </c>
      <c r="H67" s="21" t="s">
        <v>100</v>
      </c>
      <c r="I67" s="18" t="str">
        <f t="shared" si="47"/>
        <v>- 20</v>
      </c>
      <c r="J67" s="22" t="s">
        <v>101</v>
      </c>
      <c r="K67" s="126">
        <v>700000000</v>
      </c>
      <c r="L67" s="126"/>
      <c r="M67" s="126">
        <f>+Tabla13[[#This Row],[PF INICIAL]]+Tabla13[[#This Row],[AJUSTE 1]]</f>
        <v>700000000</v>
      </c>
    </row>
    <row r="68" spans="2:13" ht="15" customHeight="1" x14ac:dyDescent="0.2">
      <c r="B68" s="16" t="s">
        <v>1002</v>
      </c>
      <c r="C68" s="16" t="s">
        <v>1004</v>
      </c>
      <c r="D68" s="46" t="s">
        <v>1051</v>
      </c>
      <c r="E68" s="16" t="s">
        <v>1013</v>
      </c>
      <c r="F68" s="16" t="s">
        <v>1022</v>
      </c>
      <c r="G68" s="16" t="s">
        <v>1025</v>
      </c>
      <c r="H68" s="21" t="s">
        <v>102</v>
      </c>
      <c r="I68" s="18" t="str">
        <f t="shared" si="47"/>
        <v>- 20</v>
      </c>
      <c r="J68" s="22" t="s">
        <v>103</v>
      </c>
      <c r="K68" s="126">
        <v>0</v>
      </c>
      <c r="L68" s="126"/>
      <c r="M68" s="126">
        <f>+Tabla13[[#This Row],[PF INICIAL]]+Tabla13[[#This Row],[AJUSTE 1]]</f>
        <v>0</v>
      </c>
    </row>
    <row r="69" spans="2:13" ht="15" customHeight="1" x14ac:dyDescent="0.2">
      <c r="B69" s="16" t="s">
        <v>1002</v>
      </c>
      <c r="C69" s="16" t="s">
        <v>1004</v>
      </c>
      <c r="D69" s="46" t="s">
        <v>1051</v>
      </c>
      <c r="E69" s="16" t="s">
        <v>1013</v>
      </c>
      <c r="F69" s="16" t="s">
        <v>1022</v>
      </c>
      <c r="G69" s="16" t="s">
        <v>1025</v>
      </c>
      <c r="H69" s="21" t="s">
        <v>104</v>
      </c>
      <c r="I69" s="18" t="str">
        <f t="shared" si="47"/>
        <v>- 20</v>
      </c>
      <c r="J69" s="22" t="s">
        <v>105</v>
      </c>
      <c r="K69" s="126">
        <v>1274490</v>
      </c>
      <c r="L69" s="126"/>
      <c r="M69" s="126">
        <f>+Tabla13[[#This Row],[PF INICIAL]]+Tabla13[[#This Row],[AJUSTE 1]]</f>
        <v>1274490</v>
      </c>
    </row>
    <row r="70" spans="2:13" ht="15" customHeight="1" x14ac:dyDescent="0.2">
      <c r="B70" s="16" t="s">
        <v>1002</v>
      </c>
      <c r="C70" s="16" t="s">
        <v>1004</v>
      </c>
      <c r="D70" s="46" t="s">
        <v>1051</v>
      </c>
      <c r="E70" s="16" t="s">
        <v>1013</v>
      </c>
      <c r="F70" s="16" t="s">
        <v>1022</v>
      </c>
      <c r="G70" s="16" t="s">
        <v>1025</v>
      </c>
      <c r="H70" s="21" t="s">
        <v>106</v>
      </c>
      <c r="I70" s="18" t="str">
        <f t="shared" si="47"/>
        <v>- 20</v>
      </c>
      <c r="J70" s="22" t="s">
        <v>107</v>
      </c>
      <c r="K70" s="126">
        <v>6961920</v>
      </c>
      <c r="L70" s="126"/>
      <c r="M70" s="126">
        <f>+Tabla13[[#This Row],[PF INICIAL]]+Tabla13[[#This Row],[AJUSTE 1]]</f>
        <v>6961920</v>
      </c>
    </row>
    <row r="71" spans="2:13" ht="15" customHeight="1" x14ac:dyDescent="0.2">
      <c r="B71" s="16"/>
      <c r="C71" s="16"/>
      <c r="D71" s="16"/>
      <c r="E71" s="16"/>
      <c r="F71" s="16"/>
      <c r="G71" s="16"/>
      <c r="H71" s="21" t="s">
        <v>108</v>
      </c>
      <c r="I71" s="18"/>
      <c r="J71" s="22" t="s">
        <v>109</v>
      </c>
      <c r="K71" s="150">
        <f>+K72</f>
        <v>800000000</v>
      </c>
      <c r="L71" s="150">
        <f t="shared" ref="L71:M71" si="48">+L72</f>
        <v>0</v>
      </c>
      <c r="M71" s="150">
        <f t="shared" si="48"/>
        <v>800000000</v>
      </c>
    </row>
    <row r="72" spans="2:13" ht="15" customHeight="1" x14ac:dyDescent="0.2">
      <c r="B72" s="16" t="s">
        <v>1002</v>
      </c>
      <c r="C72" s="16" t="s">
        <v>1004</v>
      </c>
      <c r="D72" s="46" t="s">
        <v>1051</v>
      </c>
      <c r="E72" s="16" t="s">
        <v>1013</v>
      </c>
      <c r="F72" s="16" t="s">
        <v>1022</v>
      </c>
      <c r="G72" s="16" t="s">
        <v>1025</v>
      </c>
      <c r="H72" s="21" t="s">
        <v>110</v>
      </c>
      <c r="I72" s="18" t="str">
        <f t="shared" si="47"/>
        <v>- 20</v>
      </c>
      <c r="J72" s="22" t="s">
        <v>109</v>
      </c>
      <c r="K72" s="126">
        <v>800000000</v>
      </c>
      <c r="L72" s="126"/>
      <c r="M72" s="126">
        <f>+Tabla13[[#This Row],[PF INICIAL]]+Tabla13[[#This Row],[AJUSTE 1]]</f>
        <v>800000000</v>
      </c>
    </row>
    <row r="73" spans="2:13" s="13" customFormat="1" ht="15.75" customHeight="1" x14ac:dyDescent="0.25">
      <c r="B73" s="24"/>
      <c r="C73" s="24"/>
      <c r="D73" s="24"/>
      <c r="E73" s="24"/>
      <c r="F73" s="24"/>
      <c r="G73" s="24"/>
      <c r="H73" s="17" t="s">
        <v>111</v>
      </c>
      <c r="I73" s="18"/>
      <c r="J73" s="19" t="s">
        <v>112</v>
      </c>
      <c r="K73" s="152">
        <f>+K74</f>
        <v>117306000</v>
      </c>
      <c r="L73" s="152">
        <f t="shared" ref="L73:M73" si="49">+L74</f>
        <v>0</v>
      </c>
      <c r="M73" s="152">
        <f t="shared" si="49"/>
        <v>117306000</v>
      </c>
    </row>
    <row r="74" spans="2:13" ht="15" customHeight="1" x14ac:dyDescent="0.2">
      <c r="B74" s="16"/>
      <c r="C74" s="16"/>
      <c r="D74" s="16"/>
      <c r="E74" s="16"/>
      <c r="F74" s="16"/>
      <c r="G74" s="16"/>
      <c r="H74" s="21" t="s">
        <v>113</v>
      </c>
      <c r="I74" s="18"/>
      <c r="J74" s="22" t="s">
        <v>114</v>
      </c>
      <c r="K74" s="150">
        <f>+K75+K84+K89</f>
        <v>117306000</v>
      </c>
      <c r="L74" s="150">
        <f t="shared" ref="L74" si="50">+L75+L84+L89</f>
        <v>0</v>
      </c>
      <c r="M74" s="150">
        <f t="shared" ref="M74" si="51">+M75+M84+M89</f>
        <v>117306000</v>
      </c>
    </row>
    <row r="75" spans="2:13" ht="15" customHeight="1" x14ac:dyDescent="0.2">
      <c r="B75" s="16"/>
      <c r="C75" s="16"/>
      <c r="D75" s="16"/>
      <c r="E75" s="16"/>
      <c r="F75" s="16"/>
      <c r="G75" s="16"/>
      <c r="H75" s="21" t="s">
        <v>115</v>
      </c>
      <c r="I75" s="18"/>
      <c r="J75" s="22" t="s">
        <v>116</v>
      </c>
      <c r="K75" s="150">
        <f t="shared" ref="K75:M78" si="52">+K76</f>
        <v>0</v>
      </c>
      <c r="L75" s="150">
        <f t="shared" si="52"/>
        <v>0</v>
      </c>
      <c r="M75" s="150">
        <f t="shared" si="52"/>
        <v>0</v>
      </c>
    </row>
    <row r="76" spans="2:13" ht="15" customHeight="1" x14ac:dyDescent="0.2">
      <c r="B76" s="16"/>
      <c r="C76" s="16"/>
      <c r="D76" s="16"/>
      <c r="E76" s="16"/>
      <c r="F76" s="16"/>
      <c r="G76" s="16"/>
      <c r="H76" s="21" t="s">
        <v>117</v>
      </c>
      <c r="I76" s="18"/>
      <c r="J76" s="22" t="s">
        <v>118</v>
      </c>
      <c r="K76" s="150">
        <f t="shared" si="52"/>
        <v>0</v>
      </c>
      <c r="L76" s="150">
        <f t="shared" si="52"/>
        <v>0</v>
      </c>
      <c r="M76" s="150">
        <f t="shared" si="52"/>
        <v>0</v>
      </c>
    </row>
    <row r="77" spans="2:13" ht="15" customHeight="1" x14ac:dyDescent="0.2">
      <c r="B77" s="16"/>
      <c r="C77" s="16"/>
      <c r="D77" s="16"/>
      <c r="E77" s="16"/>
      <c r="F77" s="16"/>
      <c r="G77" s="16"/>
      <c r="H77" s="21" t="s">
        <v>119</v>
      </c>
      <c r="I77" s="18"/>
      <c r="J77" s="22" t="s">
        <v>120</v>
      </c>
      <c r="K77" s="150">
        <f t="shared" si="52"/>
        <v>0</v>
      </c>
      <c r="L77" s="150">
        <f t="shared" si="52"/>
        <v>0</v>
      </c>
      <c r="M77" s="150">
        <f t="shared" si="52"/>
        <v>0</v>
      </c>
    </row>
    <row r="78" spans="2:13" ht="15" customHeight="1" x14ac:dyDescent="0.2">
      <c r="B78" s="16"/>
      <c r="C78" s="16"/>
      <c r="D78" s="16"/>
      <c r="E78" s="16"/>
      <c r="F78" s="16"/>
      <c r="G78" s="16"/>
      <c r="H78" s="21" t="s">
        <v>121</v>
      </c>
      <c r="I78" s="18"/>
      <c r="J78" s="22" t="s">
        <v>122</v>
      </c>
      <c r="K78" s="150">
        <f>+K79</f>
        <v>0</v>
      </c>
      <c r="L78" s="150">
        <f t="shared" si="52"/>
        <v>0</v>
      </c>
      <c r="M78" s="150">
        <f t="shared" si="52"/>
        <v>0</v>
      </c>
    </row>
    <row r="79" spans="2:13" ht="15" customHeight="1" x14ac:dyDescent="0.2">
      <c r="B79" s="16" t="s">
        <v>1002</v>
      </c>
      <c r="C79" s="16" t="s">
        <v>1004</v>
      </c>
      <c r="D79" s="46" t="s">
        <v>1051</v>
      </c>
      <c r="E79" s="16" t="s">
        <v>1015</v>
      </c>
      <c r="F79" s="16" t="s">
        <v>1022</v>
      </c>
      <c r="G79" s="16" t="s">
        <v>1025</v>
      </c>
      <c r="H79" s="21" t="s">
        <v>123</v>
      </c>
      <c r="I79" s="18" t="str">
        <f>RIGHT(H79,4)</f>
        <v>- 13</v>
      </c>
      <c r="J79" s="22" t="s">
        <v>124</v>
      </c>
      <c r="K79" s="126">
        <v>0</v>
      </c>
      <c r="L79" s="126"/>
      <c r="M79" s="126">
        <f>+Tabla13[[#This Row],[PF INICIAL]]+Tabla13[[#This Row],[AJUSTE 1]]</f>
        <v>0</v>
      </c>
    </row>
    <row r="80" spans="2:13" ht="15" customHeight="1" x14ac:dyDescent="0.2">
      <c r="B80" s="16"/>
      <c r="C80" s="16"/>
      <c r="D80" s="16"/>
      <c r="E80" s="16"/>
      <c r="F80" s="16"/>
      <c r="G80" s="16"/>
      <c r="H80" s="21" t="s">
        <v>125</v>
      </c>
      <c r="I80" s="18"/>
      <c r="J80" s="22" t="s">
        <v>126</v>
      </c>
      <c r="K80" s="150">
        <f t="shared" ref="K80:M82" si="53">+K81</f>
        <v>0</v>
      </c>
      <c r="L80" s="150">
        <f t="shared" si="53"/>
        <v>0</v>
      </c>
      <c r="M80" s="150">
        <f t="shared" si="53"/>
        <v>0</v>
      </c>
    </row>
    <row r="81" spans="2:13" ht="15" customHeight="1" x14ac:dyDescent="0.2">
      <c r="B81" s="16"/>
      <c r="C81" s="16"/>
      <c r="D81" s="16"/>
      <c r="E81" s="16"/>
      <c r="F81" s="16"/>
      <c r="G81" s="16"/>
      <c r="H81" s="21" t="s">
        <v>127</v>
      </c>
      <c r="I81" s="18"/>
      <c r="J81" s="22" t="s">
        <v>128</v>
      </c>
      <c r="K81" s="150">
        <f t="shared" si="53"/>
        <v>0</v>
      </c>
      <c r="L81" s="150">
        <f t="shared" si="53"/>
        <v>0</v>
      </c>
      <c r="M81" s="150">
        <f t="shared" si="53"/>
        <v>0</v>
      </c>
    </row>
    <row r="82" spans="2:13" ht="15" customHeight="1" x14ac:dyDescent="0.2">
      <c r="B82" s="16"/>
      <c r="C82" s="16"/>
      <c r="D82" s="16"/>
      <c r="E82" s="16"/>
      <c r="F82" s="16"/>
      <c r="G82" s="16"/>
      <c r="H82" s="21" t="s">
        <v>129</v>
      </c>
      <c r="I82" s="18"/>
      <c r="J82" s="22" t="s">
        <v>130</v>
      </c>
      <c r="K82" s="150">
        <f>+K83</f>
        <v>0</v>
      </c>
      <c r="L82" s="150">
        <f t="shared" si="53"/>
        <v>0</v>
      </c>
      <c r="M82" s="150">
        <f t="shared" si="53"/>
        <v>0</v>
      </c>
    </row>
    <row r="83" spans="2:13" ht="15" customHeight="1" x14ac:dyDescent="0.2">
      <c r="B83" s="16" t="s">
        <v>1002</v>
      </c>
      <c r="C83" s="16" t="s">
        <v>1004</v>
      </c>
      <c r="D83" s="46" t="s">
        <v>1051</v>
      </c>
      <c r="E83" s="16" t="s">
        <v>1015</v>
      </c>
      <c r="F83" s="16" t="s">
        <v>1022</v>
      </c>
      <c r="G83" s="16" t="s">
        <v>1025</v>
      </c>
      <c r="H83" s="21" t="s">
        <v>131</v>
      </c>
      <c r="I83" s="18" t="str">
        <f>RIGHT(H83,4)</f>
        <v>- 13</v>
      </c>
      <c r="J83" s="22" t="s">
        <v>132</v>
      </c>
      <c r="K83" s="126">
        <v>0</v>
      </c>
      <c r="L83" s="126"/>
      <c r="M83" s="126">
        <f>+Tabla13[[#This Row],[PF INICIAL]]+Tabla13[[#This Row],[AJUSTE 1]]</f>
        <v>0</v>
      </c>
    </row>
    <row r="84" spans="2:13" ht="15" customHeight="1" x14ac:dyDescent="0.2">
      <c r="B84" s="16"/>
      <c r="C84" s="16"/>
      <c r="D84" s="16"/>
      <c r="E84" s="16"/>
      <c r="F84" s="16"/>
      <c r="G84" s="16"/>
      <c r="H84" s="21" t="s">
        <v>133</v>
      </c>
      <c r="I84" s="18"/>
      <c r="J84" s="22" t="s">
        <v>134</v>
      </c>
      <c r="K84" s="150">
        <f t="shared" ref="K84:M87" si="54">+K85</f>
        <v>0</v>
      </c>
      <c r="L84" s="150">
        <f t="shared" si="54"/>
        <v>0</v>
      </c>
      <c r="M84" s="150">
        <f t="shared" si="54"/>
        <v>0</v>
      </c>
    </row>
    <row r="85" spans="2:13" ht="15" customHeight="1" x14ac:dyDescent="0.2">
      <c r="B85" s="16"/>
      <c r="C85" s="16"/>
      <c r="D85" s="16"/>
      <c r="E85" s="16"/>
      <c r="F85" s="16"/>
      <c r="G85" s="16"/>
      <c r="H85" s="21" t="s">
        <v>135</v>
      </c>
      <c r="I85" s="18"/>
      <c r="J85" s="22" t="s">
        <v>136</v>
      </c>
      <c r="K85" s="150">
        <f t="shared" si="54"/>
        <v>0</v>
      </c>
      <c r="L85" s="150">
        <f t="shared" si="54"/>
        <v>0</v>
      </c>
      <c r="M85" s="150">
        <f t="shared" si="54"/>
        <v>0</v>
      </c>
    </row>
    <row r="86" spans="2:13" ht="15" customHeight="1" x14ac:dyDescent="0.2">
      <c r="B86" s="16"/>
      <c r="C86" s="16"/>
      <c r="D86" s="16"/>
      <c r="E86" s="16"/>
      <c r="F86" s="16"/>
      <c r="G86" s="16"/>
      <c r="H86" s="21" t="s">
        <v>137</v>
      </c>
      <c r="I86" s="18"/>
      <c r="J86" s="22" t="s">
        <v>138</v>
      </c>
      <c r="K86" s="150">
        <f t="shared" si="54"/>
        <v>0</v>
      </c>
      <c r="L86" s="150">
        <f t="shared" si="54"/>
        <v>0</v>
      </c>
      <c r="M86" s="150">
        <f t="shared" si="54"/>
        <v>0</v>
      </c>
    </row>
    <row r="87" spans="2:13" ht="15" customHeight="1" x14ac:dyDescent="0.2">
      <c r="B87" s="16"/>
      <c r="C87" s="16"/>
      <c r="D87" s="16"/>
      <c r="E87" s="16"/>
      <c r="F87" s="16"/>
      <c r="G87" s="16"/>
      <c r="H87" s="21" t="s">
        <v>139</v>
      </c>
      <c r="I87" s="18"/>
      <c r="J87" s="22" t="s">
        <v>140</v>
      </c>
      <c r="K87" s="150">
        <f>+K88</f>
        <v>0</v>
      </c>
      <c r="L87" s="150">
        <f t="shared" si="54"/>
        <v>0</v>
      </c>
      <c r="M87" s="150">
        <f t="shared" si="54"/>
        <v>0</v>
      </c>
    </row>
    <row r="88" spans="2:13" ht="30" customHeight="1" x14ac:dyDescent="0.2">
      <c r="B88" s="16" t="s">
        <v>1002</v>
      </c>
      <c r="C88" s="16" t="s">
        <v>1004</v>
      </c>
      <c r="D88" s="46" t="s">
        <v>1051</v>
      </c>
      <c r="E88" s="16" t="s">
        <v>1013</v>
      </c>
      <c r="F88" s="16" t="s">
        <v>1022</v>
      </c>
      <c r="G88" s="16" t="s">
        <v>1025</v>
      </c>
      <c r="H88" s="21" t="s">
        <v>141</v>
      </c>
      <c r="I88" s="18" t="str">
        <f>RIGHT(H88,4)</f>
        <v>- 20</v>
      </c>
      <c r="J88" s="22" t="s">
        <v>142</v>
      </c>
      <c r="K88" s="126">
        <v>0</v>
      </c>
      <c r="L88" s="126"/>
      <c r="M88" s="126"/>
    </row>
    <row r="89" spans="2:13" ht="15" customHeight="1" x14ac:dyDescent="0.2">
      <c r="B89" s="16"/>
      <c r="C89" s="16"/>
      <c r="D89" s="16"/>
      <c r="E89" s="16"/>
      <c r="F89" s="16"/>
      <c r="G89" s="16"/>
      <c r="H89" s="21" t="s">
        <v>143</v>
      </c>
      <c r="I89" s="18"/>
      <c r="J89" s="22" t="s">
        <v>144</v>
      </c>
      <c r="K89" s="150">
        <f t="shared" ref="K89:M93" si="55">+K90</f>
        <v>117306000</v>
      </c>
      <c r="L89" s="150">
        <f t="shared" si="55"/>
        <v>0</v>
      </c>
      <c r="M89" s="150">
        <f t="shared" si="55"/>
        <v>117306000</v>
      </c>
    </row>
    <row r="90" spans="2:13" ht="30" customHeight="1" x14ac:dyDescent="0.2">
      <c r="B90" s="16"/>
      <c r="C90" s="16"/>
      <c r="D90" s="16"/>
      <c r="E90" s="16"/>
      <c r="F90" s="16"/>
      <c r="G90" s="16"/>
      <c r="H90" s="21" t="s">
        <v>145</v>
      </c>
      <c r="I90" s="18"/>
      <c r="J90" s="22" t="s">
        <v>146</v>
      </c>
      <c r="K90" s="150">
        <f t="shared" si="55"/>
        <v>117306000</v>
      </c>
      <c r="L90" s="150">
        <f t="shared" si="55"/>
        <v>0</v>
      </c>
      <c r="M90" s="150">
        <f t="shared" si="55"/>
        <v>117306000</v>
      </c>
    </row>
    <row r="91" spans="2:13" ht="15" customHeight="1" x14ac:dyDescent="0.2">
      <c r="B91" s="16"/>
      <c r="C91" s="16"/>
      <c r="D91" s="16"/>
      <c r="E91" s="16"/>
      <c r="F91" s="16"/>
      <c r="G91" s="16"/>
      <c r="H91" s="21" t="s">
        <v>147</v>
      </c>
      <c r="I91" s="18"/>
      <c r="J91" s="22" t="s">
        <v>148</v>
      </c>
      <c r="K91" s="150">
        <f>+K92+K95</f>
        <v>117306000</v>
      </c>
      <c r="L91" s="150">
        <f t="shared" ref="L91" si="56">+L92+L95</f>
        <v>0</v>
      </c>
      <c r="M91" s="150">
        <f t="shared" ref="M91" si="57">+M92+M95</f>
        <v>117306000</v>
      </c>
    </row>
    <row r="92" spans="2:13" ht="30" customHeight="1" x14ac:dyDescent="0.2">
      <c r="B92" s="16"/>
      <c r="C92" s="16"/>
      <c r="D92" s="16"/>
      <c r="E92" s="16"/>
      <c r="F92" s="16"/>
      <c r="G92" s="16"/>
      <c r="H92" s="21" t="s">
        <v>149</v>
      </c>
      <c r="I92" s="18"/>
      <c r="J92" s="22" t="s">
        <v>150</v>
      </c>
      <c r="K92" s="150">
        <f t="shared" si="55"/>
        <v>0</v>
      </c>
      <c r="L92" s="150">
        <f t="shared" si="55"/>
        <v>0</v>
      </c>
      <c r="M92" s="150">
        <f t="shared" si="55"/>
        <v>0</v>
      </c>
    </row>
    <row r="93" spans="2:13" ht="30" customHeight="1" x14ac:dyDescent="0.2">
      <c r="B93" s="16"/>
      <c r="C93" s="16"/>
      <c r="D93" s="16"/>
      <c r="E93" s="16"/>
      <c r="F93" s="16"/>
      <c r="G93" s="16"/>
      <c r="H93" s="21" t="s">
        <v>151</v>
      </c>
      <c r="I93" s="18"/>
      <c r="J93" s="22" t="s">
        <v>152</v>
      </c>
      <c r="K93" s="150">
        <f>+K94</f>
        <v>0</v>
      </c>
      <c r="L93" s="150">
        <f t="shared" si="55"/>
        <v>0</v>
      </c>
      <c r="M93" s="150">
        <f t="shared" si="55"/>
        <v>0</v>
      </c>
    </row>
    <row r="94" spans="2:13" ht="30" customHeight="1" x14ac:dyDescent="0.2">
      <c r="B94" s="16" t="s">
        <v>1002</v>
      </c>
      <c r="C94" s="16" t="s">
        <v>1004</v>
      </c>
      <c r="D94" s="46" t="s">
        <v>1051</v>
      </c>
      <c r="E94" s="16" t="s">
        <v>1015</v>
      </c>
      <c r="F94" s="16" t="s">
        <v>1022</v>
      </c>
      <c r="G94" s="16" t="s">
        <v>1025</v>
      </c>
      <c r="H94" s="21" t="s">
        <v>153</v>
      </c>
      <c r="I94" s="18" t="str">
        <f>RIGHT(H94,4)</f>
        <v xml:space="preserve"> 152</v>
      </c>
      <c r="J94" s="22" t="s">
        <v>154</v>
      </c>
      <c r="K94" s="126">
        <v>0</v>
      </c>
      <c r="L94" s="126"/>
      <c r="M94" s="126">
        <f>+Tabla13[[#This Row],[PF INICIAL]]+Tabla13[[#This Row],[AJUSTE 1]]</f>
        <v>0</v>
      </c>
    </row>
    <row r="95" spans="2:13" ht="15" customHeight="1" x14ac:dyDescent="0.2">
      <c r="B95" s="16"/>
      <c r="C95" s="16"/>
      <c r="D95" s="16"/>
      <c r="E95" s="16"/>
      <c r="F95" s="16"/>
      <c r="G95" s="16"/>
      <c r="H95" s="21" t="s">
        <v>155</v>
      </c>
      <c r="I95" s="18"/>
      <c r="J95" s="22" t="s">
        <v>156</v>
      </c>
      <c r="K95" s="150">
        <f>+K96</f>
        <v>117306000</v>
      </c>
      <c r="L95" s="150">
        <f t="shared" ref="L95:M95" si="58">+L96</f>
        <v>0</v>
      </c>
      <c r="M95" s="150">
        <f t="shared" si="58"/>
        <v>117306000</v>
      </c>
    </row>
    <row r="96" spans="2:13" ht="15" customHeight="1" x14ac:dyDescent="0.2">
      <c r="B96" s="16"/>
      <c r="C96" s="16"/>
      <c r="D96" s="16"/>
      <c r="E96" s="16"/>
      <c r="F96" s="16"/>
      <c r="G96" s="16"/>
      <c r="H96" s="21" t="s">
        <v>157</v>
      </c>
      <c r="I96" s="18"/>
      <c r="J96" s="22" t="s">
        <v>158</v>
      </c>
      <c r="K96" s="150">
        <f>+K97+K98</f>
        <v>117306000</v>
      </c>
      <c r="L96" s="150">
        <f t="shared" ref="L96" si="59">+L97+L98</f>
        <v>0</v>
      </c>
      <c r="M96" s="150">
        <f t="shared" ref="M96" si="60">+M97+M98</f>
        <v>117306000</v>
      </c>
    </row>
    <row r="97" spans="2:13" ht="15" customHeight="1" x14ac:dyDescent="0.2">
      <c r="B97" s="16" t="s">
        <v>1002</v>
      </c>
      <c r="C97" s="16" t="s">
        <v>1004</v>
      </c>
      <c r="D97" s="46" t="s">
        <v>1051</v>
      </c>
      <c r="E97" s="16" t="s">
        <v>1015</v>
      </c>
      <c r="F97" s="16" t="s">
        <v>1022</v>
      </c>
      <c r="G97" s="16" t="s">
        <v>1025</v>
      </c>
      <c r="H97" s="21" t="s">
        <v>159</v>
      </c>
      <c r="I97" s="18" t="str">
        <f>RIGHT(H97,4)</f>
        <v>- 13</v>
      </c>
      <c r="J97" s="22" t="s">
        <v>160</v>
      </c>
      <c r="K97" s="126">
        <v>115416000</v>
      </c>
      <c r="L97" s="126"/>
      <c r="M97" s="126">
        <f>+Tabla13[[#This Row],[PF INICIAL]]+Tabla13[[#This Row],[AJUSTE 1]]</f>
        <v>115416000</v>
      </c>
    </row>
    <row r="98" spans="2:13" ht="30" customHeight="1" x14ac:dyDescent="0.2">
      <c r="B98" s="16" t="s">
        <v>1002</v>
      </c>
      <c r="C98" s="16" t="s">
        <v>1004</v>
      </c>
      <c r="D98" s="46" t="s">
        <v>1051</v>
      </c>
      <c r="E98" s="16" t="s">
        <v>1015</v>
      </c>
      <c r="F98" s="16" t="s">
        <v>1022</v>
      </c>
      <c r="G98" s="16" t="s">
        <v>1025</v>
      </c>
      <c r="H98" s="21" t="s">
        <v>161</v>
      </c>
      <c r="I98" s="18" t="str">
        <f>RIGHT(H98,4)</f>
        <v>- 13</v>
      </c>
      <c r="J98" s="22" t="s">
        <v>162</v>
      </c>
      <c r="K98" s="126">
        <v>1890000</v>
      </c>
      <c r="L98" s="126"/>
      <c r="M98" s="126">
        <f>+Tabla13[[#This Row],[PF INICIAL]]+Tabla13[[#This Row],[AJUSTE 1]]</f>
        <v>1890000</v>
      </c>
    </row>
    <row r="99" spans="2:13" s="13" customFormat="1" ht="15.75" customHeight="1" x14ac:dyDescent="0.25">
      <c r="B99" s="24"/>
      <c r="C99" s="24"/>
      <c r="D99" s="24"/>
      <c r="E99" s="24"/>
      <c r="F99" s="24"/>
      <c r="G99" s="24"/>
      <c r="H99" s="17" t="s">
        <v>163</v>
      </c>
      <c r="I99" s="18"/>
      <c r="J99" s="19" t="s">
        <v>164</v>
      </c>
      <c r="K99" s="152">
        <f>+K100+K103+K109</f>
        <v>34158059396</v>
      </c>
      <c r="L99" s="152">
        <f>+L100+L103+L109</f>
        <v>0</v>
      </c>
      <c r="M99" s="152">
        <f t="shared" ref="M99" si="61">+M100+M103+M109</f>
        <v>34158059396</v>
      </c>
    </row>
    <row r="100" spans="2:13" ht="15" customHeight="1" x14ac:dyDescent="0.2">
      <c r="B100" s="16"/>
      <c r="C100" s="16"/>
      <c r="D100" s="16"/>
      <c r="E100" s="16"/>
      <c r="F100" s="16"/>
      <c r="G100" s="16"/>
      <c r="H100" s="21" t="s">
        <v>165</v>
      </c>
      <c r="I100" s="18"/>
      <c r="J100" s="22" t="s">
        <v>166</v>
      </c>
      <c r="K100" s="150">
        <f>+K101</f>
        <v>16044640917</v>
      </c>
      <c r="L100" s="150">
        <f t="shared" ref="L100:M101" si="62">+L101</f>
        <v>0</v>
      </c>
      <c r="M100" s="150">
        <f t="shared" si="62"/>
        <v>16044640917</v>
      </c>
    </row>
    <row r="101" spans="2:13" ht="15" customHeight="1" x14ac:dyDescent="0.2">
      <c r="B101" s="16"/>
      <c r="C101" s="16"/>
      <c r="D101" s="16"/>
      <c r="E101" s="16"/>
      <c r="F101" s="16"/>
      <c r="G101" s="16"/>
      <c r="H101" s="21" t="s">
        <v>167</v>
      </c>
      <c r="I101" s="18"/>
      <c r="J101" s="22" t="s">
        <v>168</v>
      </c>
      <c r="K101" s="150">
        <f>+K102</f>
        <v>16044640917</v>
      </c>
      <c r="L101" s="150">
        <f t="shared" si="62"/>
        <v>0</v>
      </c>
      <c r="M101" s="150">
        <f t="shared" si="62"/>
        <v>16044640917</v>
      </c>
    </row>
    <row r="102" spans="2:13" ht="15" customHeight="1" x14ac:dyDescent="0.2">
      <c r="B102" s="16" t="s">
        <v>1002</v>
      </c>
      <c r="C102" s="16" t="s">
        <v>1004</v>
      </c>
      <c r="D102" s="46" t="s">
        <v>1051</v>
      </c>
      <c r="E102" s="16" t="s">
        <v>1017</v>
      </c>
      <c r="F102" s="16" t="s">
        <v>1022</v>
      </c>
      <c r="G102" s="16" t="s">
        <v>1025</v>
      </c>
      <c r="H102" s="21" t="s">
        <v>169</v>
      </c>
      <c r="I102" s="18" t="str">
        <f>RIGHT(H102,4)</f>
        <v xml:space="preserve"> 99A</v>
      </c>
      <c r="J102" s="22" t="s">
        <v>168</v>
      </c>
      <c r="K102" s="126">
        <v>16044640917</v>
      </c>
      <c r="L102" s="126">
        <v>0</v>
      </c>
      <c r="M102" s="126">
        <f>+Tabla13[[#This Row],[PF INICIAL]]+Tabla13[[#This Row],[AJUSTE 1]]</f>
        <v>16044640917</v>
      </c>
    </row>
    <row r="103" spans="2:13" ht="15" customHeight="1" x14ac:dyDescent="0.2">
      <c r="B103" s="16"/>
      <c r="C103" s="16"/>
      <c r="D103" s="16"/>
      <c r="E103" s="16"/>
      <c r="F103" s="16"/>
      <c r="G103" s="16"/>
      <c r="H103" s="21" t="s">
        <v>170</v>
      </c>
      <c r="I103" s="18"/>
      <c r="J103" s="22" t="s">
        <v>171</v>
      </c>
      <c r="K103" s="150">
        <f t="shared" ref="K103:M103" si="63">+K104</f>
        <v>17413418479</v>
      </c>
      <c r="L103" s="150">
        <f t="shared" si="63"/>
        <v>0</v>
      </c>
      <c r="M103" s="150">
        <f t="shared" si="63"/>
        <v>17413418479</v>
      </c>
    </row>
    <row r="104" spans="2:13" ht="15" customHeight="1" x14ac:dyDescent="0.2">
      <c r="B104" s="16"/>
      <c r="C104" s="16"/>
      <c r="D104" s="16"/>
      <c r="E104" s="16"/>
      <c r="F104" s="16"/>
      <c r="G104" s="16"/>
      <c r="H104" s="21" t="s">
        <v>172</v>
      </c>
      <c r="I104" s="18"/>
      <c r="J104" s="22" t="s">
        <v>173</v>
      </c>
      <c r="K104" s="150">
        <f>+K105+K107</f>
        <v>17413418479</v>
      </c>
      <c r="L104" s="150">
        <f t="shared" ref="L104:M104" si="64">+L105+L107</f>
        <v>0</v>
      </c>
      <c r="M104" s="150">
        <f t="shared" si="64"/>
        <v>17413418479</v>
      </c>
    </row>
    <row r="105" spans="2:13" ht="15" customHeight="1" x14ac:dyDescent="0.2">
      <c r="B105" s="16"/>
      <c r="C105" s="16"/>
      <c r="D105" s="16"/>
      <c r="E105" s="16"/>
      <c r="F105" s="16"/>
      <c r="G105" s="16"/>
      <c r="H105" s="21" t="s">
        <v>174</v>
      </c>
      <c r="I105" s="18"/>
      <c r="J105" s="22" t="s">
        <v>175</v>
      </c>
      <c r="K105" s="150">
        <f>+K106</f>
        <v>17183962426</v>
      </c>
      <c r="L105" s="150">
        <f t="shared" ref="L105:M105" si="65">+L106</f>
        <v>0</v>
      </c>
      <c r="M105" s="150">
        <f t="shared" si="65"/>
        <v>17183962426</v>
      </c>
    </row>
    <row r="106" spans="2:13" ht="15" customHeight="1" x14ac:dyDescent="0.2">
      <c r="B106" s="16" t="s">
        <v>1002</v>
      </c>
      <c r="C106" s="16" t="s">
        <v>1004</v>
      </c>
      <c r="D106" s="46" t="s">
        <v>1051</v>
      </c>
      <c r="E106" s="16" t="s">
        <v>1015</v>
      </c>
      <c r="F106" s="16" t="s">
        <v>1022</v>
      </c>
      <c r="G106" s="16" t="s">
        <v>1025</v>
      </c>
      <c r="H106" s="21" t="s">
        <v>176</v>
      </c>
      <c r="I106" s="18" t="str">
        <f>RIGHT(H106,4)</f>
        <v>- 23</v>
      </c>
      <c r="J106" s="22" t="s">
        <v>175</v>
      </c>
      <c r="K106" s="126">
        <v>17183962426</v>
      </c>
      <c r="L106" s="126">
        <v>0</v>
      </c>
      <c r="M106" s="126">
        <f>+Tabla13[[#This Row],[PF INICIAL]]+Tabla13[[#This Row],[AJUSTE 1]]</f>
        <v>17183962426</v>
      </c>
    </row>
    <row r="107" spans="2:13" ht="30" customHeight="1" x14ac:dyDescent="0.2">
      <c r="B107" s="16"/>
      <c r="C107" s="16"/>
      <c r="D107" s="16"/>
      <c r="E107" s="16"/>
      <c r="F107" s="16"/>
      <c r="G107" s="16"/>
      <c r="H107" s="21" t="s">
        <v>177</v>
      </c>
      <c r="I107" s="18"/>
      <c r="J107" s="22" t="s">
        <v>178</v>
      </c>
      <c r="K107" s="150">
        <f>+K108</f>
        <v>229456053</v>
      </c>
      <c r="L107" s="150">
        <f t="shared" ref="L107:M107" si="66">+L108</f>
        <v>0</v>
      </c>
      <c r="M107" s="150">
        <f t="shared" si="66"/>
        <v>229456053</v>
      </c>
    </row>
    <row r="108" spans="2:13" ht="30" customHeight="1" x14ac:dyDescent="0.2">
      <c r="B108" s="16" t="s">
        <v>1002</v>
      </c>
      <c r="C108" s="16" t="s">
        <v>1004</v>
      </c>
      <c r="D108" s="46" t="s">
        <v>1051</v>
      </c>
      <c r="E108" s="16" t="s">
        <v>1015</v>
      </c>
      <c r="F108" s="16" t="s">
        <v>1022</v>
      </c>
      <c r="G108" s="16" t="s">
        <v>1025</v>
      </c>
      <c r="H108" s="21" t="s">
        <v>179</v>
      </c>
      <c r="I108" s="18" t="str">
        <f>RIGHT(H108,4)</f>
        <v>- 24</v>
      </c>
      <c r="J108" s="22" t="s">
        <v>178</v>
      </c>
      <c r="K108" s="126">
        <v>229456053</v>
      </c>
      <c r="L108" s="126">
        <v>0</v>
      </c>
      <c r="M108" s="126">
        <f>+Tabla13[[#This Row],[PF INICIAL]]+Tabla13[[#This Row],[AJUSTE 1]]</f>
        <v>229456053</v>
      </c>
    </row>
    <row r="109" spans="2:13" ht="15" customHeight="1" x14ac:dyDescent="0.2">
      <c r="B109" s="16"/>
      <c r="C109" s="16"/>
      <c r="D109" s="16"/>
      <c r="E109" s="16"/>
      <c r="F109" s="16"/>
      <c r="G109" s="16"/>
      <c r="H109" s="21" t="s">
        <v>180</v>
      </c>
      <c r="I109" s="18"/>
      <c r="J109" s="22" t="s">
        <v>181</v>
      </c>
      <c r="K109" s="150">
        <f>+K110</f>
        <v>700000000</v>
      </c>
      <c r="L109" s="150">
        <f t="shared" ref="L109:M109" si="67">+L110</f>
        <v>0</v>
      </c>
      <c r="M109" s="150">
        <f t="shared" si="67"/>
        <v>700000000</v>
      </c>
    </row>
    <row r="110" spans="2:13" ht="15" customHeight="1" x14ac:dyDescent="0.2">
      <c r="B110" s="16"/>
      <c r="C110" s="16"/>
      <c r="D110" s="16"/>
      <c r="E110" s="16"/>
      <c r="F110" s="16"/>
      <c r="G110" s="16"/>
      <c r="H110" s="21" t="s">
        <v>182</v>
      </c>
      <c r="I110" s="18"/>
      <c r="J110" s="22" t="s">
        <v>183</v>
      </c>
      <c r="K110" s="150">
        <f>SUM(K111:K115)</f>
        <v>700000000</v>
      </c>
      <c r="L110" s="150">
        <f t="shared" ref="L110" si="68">SUM(L111:L115)</f>
        <v>0</v>
      </c>
      <c r="M110" s="150">
        <f t="shared" ref="M110" si="69">SUM(M111:M115)</f>
        <v>700000000</v>
      </c>
    </row>
    <row r="111" spans="2:13" ht="15" customHeight="1" x14ac:dyDescent="0.2">
      <c r="B111" s="16" t="s">
        <v>1002</v>
      </c>
      <c r="C111" s="16" t="s">
        <v>1004</v>
      </c>
      <c r="D111" s="46" t="s">
        <v>1051</v>
      </c>
      <c r="E111" s="16" t="s">
        <v>1018</v>
      </c>
      <c r="F111" s="16" t="s">
        <v>1022</v>
      </c>
      <c r="G111" s="16" t="s">
        <v>1025</v>
      </c>
      <c r="H111" s="21" t="s">
        <v>184</v>
      </c>
      <c r="I111" s="18" t="str">
        <f>RIGHT(H111,4)</f>
        <v xml:space="preserve"> - 0</v>
      </c>
      <c r="J111" s="22" t="s">
        <v>185</v>
      </c>
      <c r="K111" s="126">
        <v>700000000</v>
      </c>
      <c r="L111" s="126">
        <v>0</v>
      </c>
      <c r="M111" s="126">
        <f>+Tabla13[[#This Row],[PF INICIAL]]+Tabla13[[#This Row],[AJUSTE 1]]</f>
        <v>700000000</v>
      </c>
    </row>
    <row r="112" spans="2:13" ht="15" customHeight="1" x14ac:dyDescent="0.2">
      <c r="B112" s="16" t="s">
        <v>1002</v>
      </c>
      <c r="C112" s="16" t="s">
        <v>1004</v>
      </c>
      <c r="D112" s="46" t="s">
        <v>1051</v>
      </c>
      <c r="E112" s="16" t="s">
        <v>1018</v>
      </c>
      <c r="F112" s="16" t="s">
        <v>1022</v>
      </c>
      <c r="G112" s="16" t="s">
        <v>1025</v>
      </c>
      <c r="H112" s="21" t="s">
        <v>186</v>
      </c>
      <c r="I112" s="18" t="str">
        <f>RIGHT(H112,4)</f>
        <v>- 0P</v>
      </c>
      <c r="J112" s="22" t="s">
        <v>187</v>
      </c>
      <c r="K112" s="126">
        <v>0</v>
      </c>
      <c r="L112" s="126">
        <v>0</v>
      </c>
      <c r="M112" s="126">
        <f>+Tabla13[[#This Row],[PF INICIAL]]+Tabla13[[#This Row],[AJUSTE 1]]</f>
        <v>0</v>
      </c>
    </row>
    <row r="113" spans="2:13" ht="15" customHeight="1" x14ac:dyDescent="0.2">
      <c r="B113" s="16" t="s">
        <v>1002</v>
      </c>
      <c r="C113" s="16" t="s">
        <v>1004</v>
      </c>
      <c r="D113" s="46" t="s">
        <v>1051</v>
      </c>
      <c r="E113" s="16" t="s">
        <v>1018</v>
      </c>
      <c r="F113" s="16" t="s">
        <v>1022</v>
      </c>
      <c r="G113" s="16" t="s">
        <v>1025</v>
      </c>
      <c r="H113" s="21" t="s">
        <v>188</v>
      </c>
      <c r="I113" s="18" t="str">
        <f>RIGHT(H113,4)</f>
        <v>- 0C</v>
      </c>
      <c r="J113" s="22" t="s">
        <v>189</v>
      </c>
      <c r="K113" s="126">
        <v>0</v>
      </c>
      <c r="L113" s="126">
        <v>0</v>
      </c>
      <c r="M113" s="126">
        <f>+Tabla13[[#This Row],[PF INICIAL]]+Tabla13[[#This Row],[AJUSTE 1]]</f>
        <v>0</v>
      </c>
    </row>
    <row r="114" spans="2:13" ht="15" customHeight="1" x14ac:dyDescent="0.2">
      <c r="B114" s="16" t="s">
        <v>1002</v>
      </c>
      <c r="C114" s="16" t="s">
        <v>1004</v>
      </c>
      <c r="D114" s="46" t="s">
        <v>1051</v>
      </c>
      <c r="E114" s="16" t="s">
        <v>1018</v>
      </c>
      <c r="F114" s="16" t="s">
        <v>1022</v>
      </c>
      <c r="G114" s="16" t="s">
        <v>1025</v>
      </c>
      <c r="H114" s="21" t="s">
        <v>190</v>
      </c>
      <c r="I114" s="18" t="str">
        <f>RIGHT(H114,4)</f>
        <v>- 0V</v>
      </c>
      <c r="J114" s="22" t="s">
        <v>191</v>
      </c>
      <c r="K114" s="126">
        <v>0</v>
      </c>
      <c r="L114" s="126">
        <v>0</v>
      </c>
      <c r="M114" s="126">
        <f>+Tabla13[[#This Row],[PF INICIAL]]+Tabla13[[#This Row],[AJUSTE 1]]</f>
        <v>0</v>
      </c>
    </row>
    <row r="115" spans="2:13" ht="15" customHeight="1" x14ac:dyDescent="0.2">
      <c r="B115" s="16" t="s">
        <v>1002</v>
      </c>
      <c r="C115" s="16" t="s">
        <v>1004</v>
      </c>
      <c r="D115" s="46" t="s">
        <v>1051</v>
      </c>
      <c r="E115" s="16" t="s">
        <v>1018</v>
      </c>
      <c r="F115" s="16" t="s">
        <v>1022</v>
      </c>
      <c r="G115" s="16" t="s">
        <v>1025</v>
      </c>
      <c r="H115" s="21" t="s">
        <v>192</v>
      </c>
      <c r="I115" s="18" t="str">
        <f>RIGHT(H115,4)</f>
        <v>- 0A</v>
      </c>
      <c r="J115" s="22" t="s">
        <v>193</v>
      </c>
      <c r="K115" s="126">
        <v>0</v>
      </c>
      <c r="L115" s="126">
        <v>0</v>
      </c>
      <c r="M115" s="126">
        <f>+Tabla13[[#This Row],[PF INICIAL]]+Tabla13[[#This Row],[AJUSTE 1]]</f>
        <v>0</v>
      </c>
    </row>
    <row r="116" spans="2:13" s="13" customFormat="1" ht="15.75" customHeight="1" x14ac:dyDescent="0.25">
      <c r="B116" s="24"/>
      <c r="C116" s="24"/>
      <c r="D116" s="24"/>
      <c r="E116" s="24"/>
      <c r="F116" s="24"/>
      <c r="G116" s="24"/>
      <c r="H116" s="17" t="s">
        <v>194</v>
      </c>
      <c r="I116" s="18"/>
      <c r="J116" s="19" t="s">
        <v>195</v>
      </c>
      <c r="K116" s="152">
        <f t="shared" ref="K116:M117" si="70">+K117</f>
        <v>22746116429</v>
      </c>
      <c r="L116" s="152">
        <f t="shared" si="70"/>
        <v>0</v>
      </c>
      <c r="M116" s="152">
        <f t="shared" si="70"/>
        <v>22746116429</v>
      </c>
    </row>
    <row r="117" spans="2:13" ht="30" customHeight="1" x14ac:dyDescent="0.2">
      <c r="B117" s="16"/>
      <c r="C117" s="16"/>
      <c r="D117" s="16"/>
      <c r="E117" s="16"/>
      <c r="F117" s="16"/>
      <c r="G117" s="16"/>
      <c r="H117" s="21" t="s">
        <v>196</v>
      </c>
      <c r="I117" s="18"/>
      <c r="J117" s="22" t="s">
        <v>197</v>
      </c>
      <c r="K117" s="150">
        <f t="shared" si="70"/>
        <v>22746116429</v>
      </c>
      <c r="L117" s="150">
        <f t="shared" si="70"/>
        <v>0</v>
      </c>
      <c r="M117" s="150">
        <f t="shared" si="70"/>
        <v>22746116429</v>
      </c>
    </row>
    <row r="118" spans="2:13" ht="30" customHeight="1" x14ac:dyDescent="0.2">
      <c r="B118" s="16"/>
      <c r="C118" s="16"/>
      <c r="D118" s="16"/>
      <c r="E118" s="16"/>
      <c r="F118" s="16"/>
      <c r="G118" s="16"/>
      <c r="H118" s="21" t="s">
        <v>198</v>
      </c>
      <c r="I118" s="18"/>
      <c r="J118" s="22" t="s">
        <v>199</v>
      </c>
      <c r="K118" s="150">
        <f>+K119+K126</f>
        <v>22746116429</v>
      </c>
      <c r="L118" s="150">
        <f>+L119+L126</f>
        <v>0</v>
      </c>
      <c r="M118" s="150">
        <f>+M119+M126</f>
        <v>22746116429</v>
      </c>
    </row>
    <row r="119" spans="2:13" ht="15" customHeight="1" x14ac:dyDescent="0.2">
      <c r="B119" s="16"/>
      <c r="C119" s="16"/>
      <c r="D119" s="16"/>
      <c r="E119" s="16"/>
      <c r="F119" s="16"/>
      <c r="G119" s="16"/>
      <c r="H119" s="21" t="s">
        <v>200</v>
      </c>
      <c r="I119" s="18"/>
      <c r="J119" s="22" t="s">
        <v>201</v>
      </c>
      <c r="K119" s="150">
        <f>+K120+K123</f>
        <v>254003983</v>
      </c>
      <c r="L119" s="150">
        <f>+L120+L123</f>
        <v>0</v>
      </c>
      <c r="M119" s="150">
        <f>+M120+M123</f>
        <v>254003983</v>
      </c>
    </row>
    <row r="120" spans="2:13" ht="30" customHeight="1" x14ac:dyDescent="0.2">
      <c r="B120" s="16"/>
      <c r="C120" s="16"/>
      <c r="D120" s="16"/>
      <c r="E120" s="16"/>
      <c r="F120" s="16"/>
      <c r="G120" s="16"/>
      <c r="H120" s="21" t="s">
        <v>202</v>
      </c>
      <c r="I120" s="18"/>
      <c r="J120" s="22" t="s">
        <v>203</v>
      </c>
      <c r="K120" s="150">
        <f>+K121+K122</f>
        <v>173923988</v>
      </c>
      <c r="L120" s="150">
        <f>+L121+L122</f>
        <v>0</v>
      </c>
      <c r="M120" s="150">
        <f>+M121+M122</f>
        <v>173923988</v>
      </c>
    </row>
    <row r="121" spans="2:13" ht="30" customHeight="1" x14ac:dyDescent="0.2">
      <c r="B121" s="16" t="s">
        <v>1002</v>
      </c>
      <c r="C121" s="16" t="s">
        <v>1004</v>
      </c>
      <c r="D121" s="46" t="s">
        <v>1051</v>
      </c>
      <c r="E121" s="16" t="s">
        <v>1013</v>
      </c>
      <c r="F121" s="16" t="s">
        <v>1022</v>
      </c>
      <c r="G121" s="16" t="s">
        <v>1025</v>
      </c>
      <c r="H121" s="21" t="s">
        <v>204</v>
      </c>
      <c r="I121" s="18" t="str">
        <f>RIGHT(H121,4)</f>
        <v>- 20</v>
      </c>
      <c r="J121" s="22" t="s">
        <v>203</v>
      </c>
      <c r="K121" s="126">
        <v>165641894</v>
      </c>
      <c r="L121" s="126">
        <v>0</v>
      </c>
      <c r="M121" s="126">
        <f>+Tabla13[[#This Row],[PF INICIAL]]+Tabla13[[#This Row],[AJUSTE 1]]</f>
        <v>165641894</v>
      </c>
    </row>
    <row r="122" spans="2:13" ht="30" customHeight="1" x14ac:dyDescent="0.2">
      <c r="B122" s="16" t="s">
        <v>1002</v>
      </c>
      <c r="C122" s="16" t="s">
        <v>1004</v>
      </c>
      <c r="D122" s="46" t="s">
        <v>1051</v>
      </c>
      <c r="E122" s="16" t="s">
        <v>1015</v>
      </c>
      <c r="F122" s="16" t="s">
        <v>1022</v>
      </c>
      <c r="G122" s="16" t="s">
        <v>1025</v>
      </c>
      <c r="H122" s="21" t="s">
        <v>205</v>
      </c>
      <c r="I122" s="18" t="str">
        <f>RIGHT(H122,4)</f>
        <v>- 60</v>
      </c>
      <c r="J122" s="22" t="s">
        <v>203</v>
      </c>
      <c r="K122" s="126">
        <v>8282094</v>
      </c>
      <c r="L122" s="126">
        <v>0</v>
      </c>
      <c r="M122" s="126">
        <f>+Tabla13[[#This Row],[PF INICIAL]]+Tabla13[[#This Row],[AJUSTE 1]]</f>
        <v>8282094</v>
      </c>
    </row>
    <row r="123" spans="2:13" ht="30" customHeight="1" x14ac:dyDescent="0.2">
      <c r="B123" s="16"/>
      <c r="C123" s="16"/>
      <c r="D123" s="16"/>
      <c r="E123" s="16"/>
      <c r="F123" s="16"/>
      <c r="G123" s="16"/>
      <c r="H123" s="21" t="s">
        <v>206</v>
      </c>
      <c r="I123" s="18"/>
      <c r="J123" s="22" t="s">
        <v>207</v>
      </c>
      <c r="K123" s="150">
        <f>+K124+K125</f>
        <v>80079995</v>
      </c>
      <c r="L123" s="150">
        <f>+L124+L125</f>
        <v>0</v>
      </c>
      <c r="M123" s="150">
        <f>+M124+M125</f>
        <v>80079995</v>
      </c>
    </row>
    <row r="124" spans="2:13" ht="30" customHeight="1" x14ac:dyDescent="0.2">
      <c r="B124" s="16" t="s">
        <v>1002</v>
      </c>
      <c r="C124" s="16" t="s">
        <v>1004</v>
      </c>
      <c r="D124" s="46" t="s">
        <v>1051</v>
      </c>
      <c r="E124" s="16" t="s">
        <v>1013</v>
      </c>
      <c r="F124" s="16" t="s">
        <v>1022</v>
      </c>
      <c r="G124" s="16" t="s">
        <v>1025</v>
      </c>
      <c r="H124" s="21" t="s">
        <v>208</v>
      </c>
      <c r="I124" s="18" t="str">
        <f>RIGHT(H124,4)</f>
        <v>- 20</v>
      </c>
      <c r="J124" s="22" t="s">
        <v>207</v>
      </c>
      <c r="K124" s="126">
        <v>76266662</v>
      </c>
      <c r="L124" s="126">
        <v>0</v>
      </c>
      <c r="M124" s="126">
        <f>+Tabla13[[#This Row],[PF INICIAL]]+Tabla13[[#This Row],[AJUSTE 1]]</f>
        <v>76266662</v>
      </c>
    </row>
    <row r="125" spans="2:13" ht="30" customHeight="1" x14ac:dyDescent="0.2">
      <c r="B125" s="16" t="s">
        <v>1002</v>
      </c>
      <c r="C125" s="16" t="s">
        <v>1004</v>
      </c>
      <c r="D125" s="46" t="s">
        <v>1051</v>
      </c>
      <c r="E125" s="16" t="s">
        <v>1015</v>
      </c>
      <c r="F125" s="16" t="s">
        <v>1022</v>
      </c>
      <c r="G125" s="16" t="s">
        <v>1025</v>
      </c>
      <c r="H125" s="21" t="s">
        <v>209</v>
      </c>
      <c r="I125" s="18" t="str">
        <f>RIGHT(H125,4)</f>
        <v>- 60</v>
      </c>
      <c r="J125" s="22" t="s">
        <v>207</v>
      </c>
      <c r="K125" s="126">
        <v>3813333</v>
      </c>
      <c r="L125" s="126">
        <v>0</v>
      </c>
      <c r="M125" s="126">
        <f>+Tabla13[[#This Row],[PF INICIAL]]+Tabla13[[#This Row],[AJUSTE 1]]</f>
        <v>3813333</v>
      </c>
    </row>
    <row r="126" spans="2:13" ht="15" customHeight="1" x14ac:dyDescent="0.2">
      <c r="B126" s="16"/>
      <c r="C126" s="16"/>
      <c r="D126" s="16"/>
      <c r="E126" s="16"/>
      <c r="F126" s="16"/>
      <c r="G126" s="16"/>
      <c r="H126" s="21" t="s">
        <v>210</v>
      </c>
      <c r="I126" s="18"/>
      <c r="J126" s="22" t="s">
        <v>211</v>
      </c>
      <c r="K126" s="150">
        <f>+K127</f>
        <v>22492112446</v>
      </c>
      <c r="L126" s="150">
        <f>+L127</f>
        <v>0</v>
      </c>
      <c r="M126" s="150">
        <f>+M127</f>
        <v>22492112446</v>
      </c>
    </row>
    <row r="127" spans="2:13" ht="15" customHeight="1" x14ac:dyDescent="0.2">
      <c r="B127" s="16"/>
      <c r="C127" s="16"/>
      <c r="D127" s="16"/>
      <c r="E127" s="16"/>
      <c r="F127" s="16"/>
      <c r="G127" s="16"/>
      <c r="H127" s="21" t="s">
        <v>212</v>
      </c>
      <c r="I127" s="18"/>
      <c r="J127" s="22" t="s">
        <v>213</v>
      </c>
      <c r="K127" s="150">
        <f>+K128+K131</f>
        <v>22492112446</v>
      </c>
      <c r="L127" s="150">
        <f>+L128+L131</f>
        <v>0</v>
      </c>
      <c r="M127" s="150">
        <f>+M128+M131</f>
        <v>22492112446</v>
      </c>
    </row>
    <row r="128" spans="2:13" ht="30" customHeight="1" x14ac:dyDescent="0.2">
      <c r="B128" s="16"/>
      <c r="C128" s="16"/>
      <c r="D128" s="16"/>
      <c r="E128" s="16"/>
      <c r="F128" s="16"/>
      <c r="G128" s="16"/>
      <c r="H128" s="21" t="s">
        <v>214</v>
      </c>
      <c r="I128" s="18"/>
      <c r="J128" s="22" t="s">
        <v>215</v>
      </c>
      <c r="K128" s="150">
        <f>+K129+K130</f>
        <v>15138474925</v>
      </c>
      <c r="L128" s="150">
        <f>+L129+L130</f>
        <v>0</v>
      </c>
      <c r="M128" s="150">
        <f>+M129+M130</f>
        <v>15138474925</v>
      </c>
    </row>
    <row r="129" spans="2:13" ht="30" customHeight="1" x14ac:dyDescent="0.2">
      <c r="B129" s="16" t="s">
        <v>1002</v>
      </c>
      <c r="C129" s="16" t="s">
        <v>1004</v>
      </c>
      <c r="D129" s="46" t="s">
        <v>1051</v>
      </c>
      <c r="E129" s="16" t="s">
        <v>1013</v>
      </c>
      <c r="F129" s="16" t="s">
        <v>1022</v>
      </c>
      <c r="G129" s="16" t="s">
        <v>1025</v>
      </c>
      <c r="H129" s="21" t="s">
        <v>216</v>
      </c>
      <c r="I129" s="18" t="str">
        <f>RIGHT(H129,4)</f>
        <v>- 20</v>
      </c>
      <c r="J129" s="22" t="s">
        <v>215</v>
      </c>
      <c r="K129" s="126">
        <v>14417595167</v>
      </c>
      <c r="L129" s="126">
        <v>0</v>
      </c>
      <c r="M129" s="126">
        <f>+Tabla13[[#This Row],[PF INICIAL]]+Tabla13[[#This Row],[AJUSTE 1]]</f>
        <v>14417595167</v>
      </c>
    </row>
    <row r="130" spans="2:13" ht="30" customHeight="1" x14ac:dyDescent="0.2">
      <c r="B130" s="16" t="s">
        <v>1002</v>
      </c>
      <c r="C130" s="16" t="s">
        <v>1004</v>
      </c>
      <c r="D130" s="46" t="s">
        <v>1051</v>
      </c>
      <c r="E130" s="16" t="s">
        <v>1015</v>
      </c>
      <c r="F130" s="16" t="s">
        <v>1022</v>
      </c>
      <c r="G130" s="16" t="s">
        <v>1025</v>
      </c>
      <c r="H130" s="21" t="s">
        <v>217</v>
      </c>
      <c r="I130" s="18" t="str">
        <f>RIGHT(H130,4)</f>
        <v>- 60</v>
      </c>
      <c r="J130" s="22" t="s">
        <v>215</v>
      </c>
      <c r="K130" s="126">
        <v>720879758</v>
      </c>
      <c r="L130" s="126">
        <v>0</v>
      </c>
      <c r="M130" s="126">
        <f>+Tabla13[[#This Row],[PF INICIAL]]+Tabla13[[#This Row],[AJUSTE 1]]</f>
        <v>720879758</v>
      </c>
    </row>
    <row r="131" spans="2:13" ht="30" customHeight="1" x14ac:dyDescent="0.2">
      <c r="B131" s="16"/>
      <c r="C131" s="16"/>
      <c r="D131" s="16"/>
      <c r="E131" s="16"/>
      <c r="F131" s="16"/>
      <c r="G131" s="16"/>
      <c r="H131" s="21" t="s">
        <v>218</v>
      </c>
      <c r="I131" s="18"/>
      <c r="J131" s="22" t="s">
        <v>219</v>
      </c>
      <c r="K131" s="150">
        <f>+K132</f>
        <v>7353637521</v>
      </c>
      <c r="L131" s="150">
        <f>+L132</f>
        <v>0</v>
      </c>
      <c r="M131" s="150">
        <f>+M132</f>
        <v>7353637521</v>
      </c>
    </row>
    <row r="132" spans="2:13" ht="30" customHeight="1" x14ac:dyDescent="0.2">
      <c r="B132" s="16"/>
      <c r="C132" s="16"/>
      <c r="D132" s="16"/>
      <c r="E132" s="16"/>
      <c r="F132" s="16"/>
      <c r="G132" s="16"/>
      <c r="H132" s="21" t="s">
        <v>220</v>
      </c>
      <c r="I132" s="18"/>
      <c r="J132" s="22" t="s">
        <v>221</v>
      </c>
      <c r="K132" s="150">
        <f>+K133+K134</f>
        <v>7353637521</v>
      </c>
      <c r="L132" s="150">
        <f>+L133+L134</f>
        <v>0</v>
      </c>
      <c r="M132" s="150">
        <f>+M133+M134</f>
        <v>7353637521</v>
      </c>
    </row>
    <row r="133" spans="2:13" ht="30" customHeight="1" x14ac:dyDescent="0.2">
      <c r="B133" s="16" t="s">
        <v>1002</v>
      </c>
      <c r="C133" s="16" t="s">
        <v>1004</v>
      </c>
      <c r="D133" s="46" t="s">
        <v>1051</v>
      </c>
      <c r="E133" s="16" t="s">
        <v>1013</v>
      </c>
      <c r="F133" s="16" t="s">
        <v>1022</v>
      </c>
      <c r="G133" s="16" t="s">
        <v>1025</v>
      </c>
      <c r="H133" s="21" t="s">
        <v>222</v>
      </c>
      <c r="I133" s="18" t="str">
        <f>RIGHT(H133,4)</f>
        <v>- 20</v>
      </c>
      <c r="J133" s="22" t="s">
        <v>221</v>
      </c>
      <c r="K133" s="126">
        <v>7003464306</v>
      </c>
      <c r="L133" s="126">
        <v>0</v>
      </c>
      <c r="M133" s="126">
        <f>+Tabla13[[#This Row],[PF INICIAL]]+Tabla13[[#This Row],[AJUSTE 1]]</f>
        <v>7003464306</v>
      </c>
    </row>
    <row r="134" spans="2:13" ht="30" customHeight="1" x14ac:dyDescent="0.2">
      <c r="B134" s="16" t="s">
        <v>1002</v>
      </c>
      <c r="C134" s="16" t="s">
        <v>1004</v>
      </c>
      <c r="D134" s="46" t="s">
        <v>1051</v>
      </c>
      <c r="E134" s="16" t="s">
        <v>1015</v>
      </c>
      <c r="F134" s="16" t="s">
        <v>1022</v>
      </c>
      <c r="G134" s="16" t="s">
        <v>1025</v>
      </c>
      <c r="H134" s="21" t="s">
        <v>223</v>
      </c>
      <c r="I134" s="18" t="str">
        <f>RIGHT(H134,4)</f>
        <v>- 60</v>
      </c>
      <c r="J134" s="22" t="s">
        <v>221</v>
      </c>
      <c r="K134" s="126">
        <v>350173215</v>
      </c>
      <c r="L134" s="126">
        <v>0</v>
      </c>
      <c r="M134" s="126">
        <f>+Tabla13[[#This Row],[PF INICIAL]]+Tabla13[[#This Row],[AJUSTE 1]]</f>
        <v>350173215</v>
      </c>
    </row>
    <row r="135" spans="2:13" s="13" customFormat="1" ht="15.75" customHeight="1" x14ac:dyDescent="0.25">
      <c r="B135" s="24"/>
      <c r="C135" s="24"/>
      <c r="D135" s="24"/>
      <c r="E135" s="24"/>
      <c r="F135" s="24"/>
      <c r="G135" s="24"/>
      <c r="H135" s="17" t="s">
        <v>224</v>
      </c>
      <c r="I135" s="18"/>
      <c r="J135" s="19" t="s">
        <v>225</v>
      </c>
      <c r="K135" s="152">
        <f>+K136+K139+K143+K162+K165+K189</f>
        <v>2450000000</v>
      </c>
      <c r="L135" s="152">
        <f t="shared" ref="L135" si="71">+L136+L139+L143+L162+L165+L189</f>
        <v>0</v>
      </c>
      <c r="M135" s="152">
        <f t="shared" ref="M135" si="72">+M136+M139+M143+M162+M165+M189</f>
        <v>2450000000</v>
      </c>
    </row>
    <row r="136" spans="2:13" s="13" customFormat="1" ht="15.75" customHeight="1" x14ac:dyDescent="0.25">
      <c r="B136" s="24"/>
      <c r="C136" s="24"/>
      <c r="D136" s="24"/>
      <c r="E136" s="24"/>
      <c r="F136" s="24"/>
      <c r="G136" s="24"/>
      <c r="H136" s="17" t="s">
        <v>226</v>
      </c>
      <c r="I136" s="18"/>
      <c r="J136" s="19" t="s">
        <v>227</v>
      </c>
      <c r="K136" s="152">
        <f>+K137</f>
        <v>0</v>
      </c>
      <c r="L136" s="152">
        <f t="shared" ref="L136:M137" si="73">+L137</f>
        <v>0</v>
      </c>
      <c r="M136" s="152">
        <f t="shared" si="73"/>
        <v>0</v>
      </c>
    </row>
    <row r="137" spans="2:13" s="13" customFormat="1" ht="15.75" customHeight="1" x14ac:dyDescent="0.25">
      <c r="B137" s="24"/>
      <c r="C137" s="24"/>
      <c r="D137" s="24"/>
      <c r="E137" s="24"/>
      <c r="F137" s="24"/>
      <c r="G137" s="24"/>
      <c r="H137" s="17" t="s">
        <v>775</v>
      </c>
      <c r="I137" s="18"/>
      <c r="J137" s="19" t="s">
        <v>229</v>
      </c>
      <c r="K137" s="150">
        <f>+K138</f>
        <v>0</v>
      </c>
      <c r="L137" s="150">
        <f t="shared" si="73"/>
        <v>0</v>
      </c>
      <c r="M137" s="150">
        <f t="shared" si="73"/>
        <v>0</v>
      </c>
    </row>
    <row r="138" spans="2:13" ht="15" customHeight="1" x14ac:dyDescent="0.2">
      <c r="B138" s="16" t="s">
        <v>1002</v>
      </c>
      <c r="C138" s="16" t="s">
        <v>1004</v>
      </c>
      <c r="D138" s="46" t="s">
        <v>1051</v>
      </c>
      <c r="E138" s="16" t="s">
        <v>1014</v>
      </c>
      <c r="F138" s="16" t="s">
        <v>1023</v>
      </c>
      <c r="G138" s="16" t="s">
        <v>1026</v>
      </c>
      <c r="H138" s="21" t="s">
        <v>228</v>
      </c>
      <c r="I138" s="18" t="str">
        <f>RIGHT(H138,4)</f>
        <v>- 20</v>
      </c>
      <c r="J138" s="22" t="s">
        <v>229</v>
      </c>
      <c r="K138" s="126">
        <v>0</v>
      </c>
      <c r="L138" s="126"/>
      <c r="M138" s="126">
        <f>+Tabla13[[#This Row],[PF INICIAL]]+Tabla13[[#This Row],[AJUSTE 1]]</f>
        <v>0</v>
      </c>
    </row>
    <row r="139" spans="2:13" s="13" customFormat="1" ht="15.75" customHeight="1" x14ac:dyDescent="0.25">
      <c r="B139" s="24"/>
      <c r="C139" s="24"/>
      <c r="D139" s="24"/>
      <c r="E139" s="24"/>
      <c r="F139" s="24"/>
      <c r="G139" s="24"/>
      <c r="H139" s="17" t="s">
        <v>230</v>
      </c>
      <c r="I139" s="18"/>
      <c r="J139" s="19" t="s">
        <v>231</v>
      </c>
      <c r="K139" s="152">
        <f>+K140</f>
        <v>250000000</v>
      </c>
      <c r="L139" s="152">
        <f t="shared" ref="L139:M139" si="74">+L140</f>
        <v>0</v>
      </c>
      <c r="M139" s="152">
        <f t="shared" si="74"/>
        <v>250000000</v>
      </c>
    </row>
    <row r="140" spans="2:13" ht="15" customHeight="1" x14ac:dyDescent="0.2">
      <c r="B140" s="16"/>
      <c r="C140" s="16"/>
      <c r="D140" s="16"/>
      <c r="E140" s="16"/>
      <c r="F140" s="16"/>
      <c r="G140" s="16"/>
      <c r="H140" s="21" t="s">
        <v>232</v>
      </c>
      <c r="I140" s="18"/>
      <c r="J140" s="22" t="s">
        <v>233</v>
      </c>
      <c r="K140" s="150">
        <f>+K141+K142</f>
        <v>250000000</v>
      </c>
      <c r="L140" s="150">
        <f t="shared" ref="L140" si="75">+L141+L142</f>
        <v>0</v>
      </c>
      <c r="M140" s="150">
        <f t="shared" ref="M140" si="76">+M141+M142</f>
        <v>250000000</v>
      </c>
    </row>
    <row r="141" spans="2:13" ht="15" customHeight="1" x14ac:dyDescent="0.2">
      <c r="B141" s="16" t="s">
        <v>1002</v>
      </c>
      <c r="C141" s="16" t="s">
        <v>1004</v>
      </c>
      <c r="D141" s="46" t="s">
        <v>1051</v>
      </c>
      <c r="E141" s="16" t="s">
        <v>1014</v>
      </c>
      <c r="F141" s="16" t="s">
        <v>1023</v>
      </c>
      <c r="G141" s="16" t="s">
        <v>1027</v>
      </c>
      <c r="H141" s="21" t="s">
        <v>234</v>
      </c>
      <c r="I141" s="18" t="str">
        <f>RIGHT(H141,4)</f>
        <v>- 20</v>
      </c>
      <c r="J141" s="22" t="s">
        <v>235</v>
      </c>
      <c r="K141" s="126">
        <v>0</v>
      </c>
      <c r="L141" s="126"/>
      <c r="M141" s="126">
        <f>+Tabla13[[#This Row],[PF INICIAL]]+Tabla13[[#This Row],[AJUSTE 1]]</f>
        <v>0</v>
      </c>
    </row>
    <row r="142" spans="2:13" ht="15" customHeight="1" x14ac:dyDescent="0.2">
      <c r="B142" s="16" t="s">
        <v>1002</v>
      </c>
      <c r="C142" s="16" t="s">
        <v>1004</v>
      </c>
      <c r="D142" s="46" t="s">
        <v>1051</v>
      </c>
      <c r="E142" s="16" t="s">
        <v>1014</v>
      </c>
      <c r="F142" s="16" t="s">
        <v>1023</v>
      </c>
      <c r="G142" s="16" t="s">
        <v>1027</v>
      </c>
      <c r="H142" s="21" t="s">
        <v>236</v>
      </c>
      <c r="I142" s="18" t="str">
        <f>RIGHT(H142,4)</f>
        <v>- 20</v>
      </c>
      <c r="J142" s="22" t="s">
        <v>237</v>
      </c>
      <c r="K142" s="126">
        <v>250000000</v>
      </c>
      <c r="L142" s="126"/>
      <c r="M142" s="126">
        <f>+Tabla13[[#This Row],[PF INICIAL]]+Tabla13[[#This Row],[AJUSTE 1]]</f>
        <v>250000000</v>
      </c>
    </row>
    <row r="143" spans="2:13" s="13" customFormat="1" ht="15.75" customHeight="1" x14ac:dyDescent="0.25">
      <c r="B143" s="24"/>
      <c r="C143" s="24"/>
      <c r="D143" s="24"/>
      <c r="E143" s="24"/>
      <c r="F143" s="24"/>
      <c r="G143" s="24"/>
      <c r="H143" s="17" t="s">
        <v>238</v>
      </c>
      <c r="I143" s="18"/>
      <c r="J143" s="19" t="s">
        <v>239</v>
      </c>
      <c r="K143" s="152">
        <f>+K144</f>
        <v>2200000000</v>
      </c>
      <c r="L143" s="152">
        <f t="shared" ref="L143:M143" si="77">+L144</f>
        <v>0</v>
      </c>
      <c r="M143" s="152">
        <f t="shared" si="77"/>
        <v>2200000000</v>
      </c>
    </row>
    <row r="144" spans="2:13" s="13" customFormat="1" ht="15.75" customHeight="1" x14ac:dyDescent="0.25">
      <c r="B144" s="24"/>
      <c r="C144" s="24"/>
      <c r="D144" s="24"/>
      <c r="E144" s="24"/>
      <c r="F144" s="24"/>
      <c r="G144" s="24"/>
      <c r="H144" s="17" t="s">
        <v>240</v>
      </c>
      <c r="I144" s="18"/>
      <c r="J144" s="19" t="s">
        <v>241</v>
      </c>
      <c r="K144" s="152">
        <f>SUM(K145:K161)</f>
        <v>2200000000</v>
      </c>
      <c r="L144" s="152">
        <f t="shared" ref="L144" si="78">SUM(L145:L161)</f>
        <v>0</v>
      </c>
      <c r="M144" s="152">
        <f t="shared" ref="M144" si="79">SUM(M145:M161)</f>
        <v>2200000000</v>
      </c>
    </row>
    <row r="145" spans="2:13" ht="15" customHeight="1" x14ac:dyDescent="0.2">
      <c r="B145" s="16" t="s">
        <v>1002</v>
      </c>
      <c r="C145" s="16" t="s">
        <v>1004</v>
      </c>
      <c r="D145" s="46" t="s">
        <v>1051</v>
      </c>
      <c r="E145" s="16" t="s">
        <v>1016</v>
      </c>
      <c r="F145" s="16" t="s">
        <v>1023</v>
      </c>
      <c r="G145" s="16" t="s">
        <v>1028</v>
      </c>
      <c r="H145" s="21" t="s">
        <v>243</v>
      </c>
      <c r="I145" s="18" t="str">
        <f t="shared" ref="I145:I161" si="80">RIGHT(H145,4)</f>
        <v xml:space="preserve"> 04F</v>
      </c>
      <c r="J145" s="22" t="s">
        <v>241</v>
      </c>
      <c r="K145" s="126">
        <v>0</v>
      </c>
      <c r="L145" s="126"/>
      <c r="M145" s="126">
        <f>+Tabla13[[#This Row],[PF INICIAL]]+Tabla13[[#This Row],[AJUSTE 1]]</f>
        <v>0</v>
      </c>
    </row>
    <row r="146" spans="2:13" ht="15" customHeight="1" x14ac:dyDescent="0.2">
      <c r="B146" s="16" t="s">
        <v>1002</v>
      </c>
      <c r="C146" s="16" t="s">
        <v>1004</v>
      </c>
      <c r="D146" s="46" t="s">
        <v>1051</v>
      </c>
      <c r="E146" s="16" t="s">
        <v>1016</v>
      </c>
      <c r="F146" s="16" t="s">
        <v>1023</v>
      </c>
      <c r="G146" s="16" t="s">
        <v>1028</v>
      </c>
      <c r="H146" s="21" t="s">
        <v>244</v>
      </c>
      <c r="I146" s="18" t="str">
        <f t="shared" si="80"/>
        <v xml:space="preserve"> 05F</v>
      </c>
      <c r="J146" s="22" t="s">
        <v>241</v>
      </c>
      <c r="K146" s="126">
        <v>0</v>
      </c>
      <c r="L146" s="126"/>
      <c r="M146" s="126">
        <f>+Tabla13[[#This Row],[PF INICIAL]]+Tabla13[[#This Row],[AJUSTE 1]]</f>
        <v>0</v>
      </c>
    </row>
    <row r="147" spans="2:13" ht="15" customHeight="1" x14ac:dyDescent="0.2">
      <c r="B147" s="16" t="s">
        <v>1002</v>
      </c>
      <c r="C147" s="16" t="s">
        <v>1004</v>
      </c>
      <c r="D147" s="46" t="s">
        <v>1051</v>
      </c>
      <c r="E147" s="16" t="s">
        <v>1016</v>
      </c>
      <c r="F147" s="16" t="s">
        <v>1023</v>
      </c>
      <c r="G147" s="16" t="s">
        <v>1028</v>
      </c>
      <c r="H147" s="21" t="s">
        <v>245</v>
      </c>
      <c r="I147" s="18" t="str">
        <f t="shared" si="80"/>
        <v xml:space="preserve"> 08F</v>
      </c>
      <c r="J147" s="22" t="s">
        <v>241</v>
      </c>
      <c r="K147" s="126">
        <v>0</v>
      </c>
      <c r="L147" s="126"/>
      <c r="M147" s="126">
        <f>+Tabla13[[#This Row],[PF INICIAL]]+Tabla13[[#This Row],[AJUSTE 1]]</f>
        <v>0</v>
      </c>
    </row>
    <row r="148" spans="2:13" ht="15" customHeight="1" x14ac:dyDescent="0.2">
      <c r="B148" s="16" t="s">
        <v>1002</v>
      </c>
      <c r="C148" s="16" t="s">
        <v>1004</v>
      </c>
      <c r="D148" s="46" t="s">
        <v>1051</v>
      </c>
      <c r="E148" s="16" t="s">
        <v>1015</v>
      </c>
      <c r="F148" s="16" t="s">
        <v>1023</v>
      </c>
      <c r="G148" s="16" t="s">
        <v>1028</v>
      </c>
      <c r="H148" s="21" t="s">
        <v>246</v>
      </c>
      <c r="I148" s="18" t="str">
        <f t="shared" si="80"/>
        <v>100I</v>
      </c>
      <c r="J148" s="22" t="s">
        <v>241</v>
      </c>
      <c r="K148" s="126">
        <v>0</v>
      </c>
      <c r="L148" s="126"/>
      <c r="M148" s="126">
        <f>+Tabla13[[#This Row],[PF INICIAL]]+Tabla13[[#This Row],[AJUSTE 1]]</f>
        <v>0</v>
      </c>
    </row>
    <row r="149" spans="2:13" ht="15" customHeight="1" x14ac:dyDescent="0.2">
      <c r="B149" s="16" t="s">
        <v>1002</v>
      </c>
      <c r="C149" s="16" t="s">
        <v>1004</v>
      </c>
      <c r="D149" s="46" t="s">
        <v>1051</v>
      </c>
      <c r="E149" s="16" t="s">
        <v>1019</v>
      </c>
      <c r="F149" s="16" t="s">
        <v>1023</v>
      </c>
      <c r="G149" s="16" t="s">
        <v>1028</v>
      </c>
      <c r="H149" s="21" t="s">
        <v>247</v>
      </c>
      <c r="I149" s="18" t="str">
        <f t="shared" si="80"/>
        <v>125F</v>
      </c>
      <c r="J149" s="22" t="s">
        <v>241</v>
      </c>
      <c r="K149" s="126">
        <v>0</v>
      </c>
      <c r="L149" s="126"/>
      <c r="M149" s="126">
        <f>+Tabla13[[#This Row],[PF INICIAL]]+Tabla13[[#This Row],[AJUSTE 1]]</f>
        <v>0</v>
      </c>
    </row>
    <row r="150" spans="2:13" ht="15" customHeight="1" x14ac:dyDescent="0.2">
      <c r="B150" s="16" t="s">
        <v>1002</v>
      </c>
      <c r="C150" s="16" t="s">
        <v>1004</v>
      </c>
      <c r="D150" s="46" t="s">
        <v>1051</v>
      </c>
      <c r="E150" s="16" t="s">
        <v>1015</v>
      </c>
      <c r="F150" s="16" t="s">
        <v>1023</v>
      </c>
      <c r="G150" s="16" t="s">
        <v>1028</v>
      </c>
      <c r="H150" s="21" t="s">
        <v>248</v>
      </c>
      <c r="I150" s="18" t="str">
        <f t="shared" si="80"/>
        <v xml:space="preserve"> 13F</v>
      </c>
      <c r="J150" s="22" t="s">
        <v>241</v>
      </c>
      <c r="K150" s="126">
        <v>0</v>
      </c>
      <c r="L150" s="126"/>
      <c r="M150" s="126">
        <f>+Tabla13[[#This Row],[PF INICIAL]]+Tabla13[[#This Row],[AJUSTE 1]]</f>
        <v>0</v>
      </c>
    </row>
    <row r="151" spans="2:13" ht="15" customHeight="1" x14ac:dyDescent="0.2">
      <c r="B151" s="16" t="s">
        <v>1002</v>
      </c>
      <c r="C151" s="16" t="s">
        <v>1004</v>
      </c>
      <c r="D151" s="46" t="s">
        <v>1051</v>
      </c>
      <c r="E151" s="16" t="s">
        <v>1015</v>
      </c>
      <c r="F151" s="16" t="s">
        <v>1023</v>
      </c>
      <c r="G151" s="16" t="s">
        <v>1028</v>
      </c>
      <c r="H151" s="21" t="s">
        <v>249</v>
      </c>
      <c r="I151" s="18" t="str">
        <f t="shared" si="80"/>
        <v>152F</v>
      </c>
      <c r="J151" s="22" t="s">
        <v>241</v>
      </c>
      <c r="K151" s="126">
        <v>0</v>
      </c>
      <c r="L151" s="126"/>
      <c r="M151" s="126">
        <f>+Tabla13[[#This Row],[PF INICIAL]]+Tabla13[[#This Row],[AJUSTE 1]]</f>
        <v>0</v>
      </c>
    </row>
    <row r="152" spans="2:13" ht="15" customHeight="1" x14ac:dyDescent="0.2">
      <c r="B152" s="16" t="s">
        <v>1002</v>
      </c>
      <c r="C152" s="16" t="s">
        <v>1004</v>
      </c>
      <c r="D152" s="46" t="s">
        <v>1051</v>
      </c>
      <c r="E152" s="16" t="s">
        <v>1015</v>
      </c>
      <c r="F152" s="16" t="s">
        <v>1023</v>
      </c>
      <c r="G152" s="16" t="s">
        <v>1028</v>
      </c>
      <c r="H152" s="21" t="s">
        <v>250</v>
      </c>
      <c r="I152" s="18" t="str">
        <f t="shared" si="80"/>
        <v xml:space="preserve"> 17F</v>
      </c>
      <c r="J152" s="22" t="s">
        <v>241</v>
      </c>
      <c r="K152" s="126">
        <v>0</v>
      </c>
      <c r="L152" s="126"/>
      <c r="M152" s="126">
        <f>+Tabla13[[#This Row],[PF INICIAL]]+Tabla13[[#This Row],[AJUSTE 1]]</f>
        <v>0</v>
      </c>
    </row>
    <row r="153" spans="2:13" ht="15" customHeight="1" x14ac:dyDescent="0.2">
      <c r="B153" s="16" t="s">
        <v>1002</v>
      </c>
      <c r="C153" s="16" t="s">
        <v>1004</v>
      </c>
      <c r="D153" s="46" t="s">
        <v>1051</v>
      </c>
      <c r="E153" s="16" t="s">
        <v>1015</v>
      </c>
      <c r="F153" s="16" t="s">
        <v>1023</v>
      </c>
      <c r="G153" s="16" t="s">
        <v>1028</v>
      </c>
      <c r="H153" s="21" t="s">
        <v>251</v>
      </c>
      <c r="I153" s="18" t="str">
        <f t="shared" si="80"/>
        <v xml:space="preserve"> 18F</v>
      </c>
      <c r="J153" s="22" t="s">
        <v>241</v>
      </c>
      <c r="K153" s="126">
        <v>0</v>
      </c>
      <c r="L153" s="126"/>
      <c r="M153" s="126">
        <f>+Tabla13[[#This Row],[PF INICIAL]]+Tabla13[[#This Row],[AJUSTE 1]]</f>
        <v>0</v>
      </c>
    </row>
    <row r="154" spans="2:13" ht="15" customHeight="1" x14ac:dyDescent="0.2">
      <c r="B154" s="16" t="s">
        <v>1002</v>
      </c>
      <c r="C154" s="16" t="s">
        <v>1004</v>
      </c>
      <c r="D154" s="46" t="s">
        <v>1051</v>
      </c>
      <c r="E154" s="16" t="s">
        <v>1020</v>
      </c>
      <c r="F154" s="16" t="s">
        <v>1023</v>
      </c>
      <c r="G154" s="16" t="s">
        <v>1028</v>
      </c>
      <c r="H154" s="21" t="s">
        <v>252</v>
      </c>
      <c r="I154" s="18" t="str">
        <f t="shared" si="80"/>
        <v>191F</v>
      </c>
      <c r="J154" s="22" t="s">
        <v>241</v>
      </c>
      <c r="K154" s="126">
        <v>0</v>
      </c>
      <c r="L154" s="126"/>
      <c r="M154" s="126">
        <f>+Tabla13[[#This Row],[PF INICIAL]]+Tabla13[[#This Row],[AJUSTE 1]]</f>
        <v>0</v>
      </c>
    </row>
    <row r="155" spans="2:13" ht="15" customHeight="1" x14ac:dyDescent="0.2">
      <c r="B155" s="16" t="s">
        <v>1002</v>
      </c>
      <c r="C155" s="16" t="s">
        <v>1004</v>
      </c>
      <c r="D155" s="46" t="s">
        <v>1051</v>
      </c>
      <c r="E155" s="16" t="s">
        <v>1020</v>
      </c>
      <c r="F155" s="16" t="s">
        <v>1023</v>
      </c>
      <c r="G155" s="16" t="s">
        <v>1028</v>
      </c>
      <c r="H155" s="21" t="s">
        <v>253</v>
      </c>
      <c r="I155" s="18" t="str">
        <f t="shared" si="80"/>
        <v>193F</v>
      </c>
      <c r="J155" s="22" t="s">
        <v>241</v>
      </c>
      <c r="K155" s="126">
        <v>0</v>
      </c>
      <c r="L155" s="126"/>
      <c r="M155" s="126">
        <f>+Tabla13[[#This Row],[PF INICIAL]]+Tabla13[[#This Row],[AJUSTE 1]]</f>
        <v>0</v>
      </c>
    </row>
    <row r="156" spans="2:13" ht="15" customHeight="1" x14ac:dyDescent="0.2">
      <c r="B156" s="16" t="s">
        <v>1002</v>
      </c>
      <c r="C156" s="16" t="s">
        <v>1004</v>
      </c>
      <c r="D156" s="46" t="s">
        <v>1051</v>
      </c>
      <c r="E156" s="16" t="s">
        <v>1014</v>
      </c>
      <c r="F156" s="16" t="s">
        <v>1023</v>
      </c>
      <c r="G156" s="16" t="s">
        <v>1028</v>
      </c>
      <c r="H156" s="21" t="s">
        <v>254</v>
      </c>
      <c r="I156" s="18" t="str">
        <f t="shared" si="80"/>
        <v xml:space="preserve"> 20F</v>
      </c>
      <c r="J156" s="22" t="s">
        <v>241</v>
      </c>
      <c r="K156" s="126">
        <v>2000000000</v>
      </c>
      <c r="L156" s="126"/>
      <c r="M156" s="126">
        <f>+Tabla13[[#This Row],[PF INICIAL]]+Tabla13[[#This Row],[AJUSTE 1]]</f>
        <v>2000000000</v>
      </c>
    </row>
    <row r="157" spans="2:13" ht="15" customHeight="1" x14ac:dyDescent="0.2">
      <c r="B157" s="16" t="s">
        <v>1002</v>
      </c>
      <c r="C157" s="16" t="s">
        <v>1004</v>
      </c>
      <c r="D157" s="46" t="s">
        <v>1051</v>
      </c>
      <c r="E157" s="16" t="s">
        <v>1015</v>
      </c>
      <c r="F157" s="16" t="s">
        <v>1023</v>
      </c>
      <c r="G157" s="16" t="s">
        <v>1028</v>
      </c>
      <c r="H157" s="21" t="s">
        <v>255</v>
      </c>
      <c r="I157" s="18" t="str">
        <f t="shared" si="80"/>
        <v xml:space="preserve"> 23F</v>
      </c>
      <c r="J157" s="22" t="s">
        <v>241</v>
      </c>
      <c r="K157" s="126">
        <v>200000000</v>
      </c>
      <c r="L157" s="126"/>
      <c r="M157" s="126">
        <f>+Tabla13[[#This Row],[PF INICIAL]]+Tabla13[[#This Row],[AJUSTE 1]]</f>
        <v>200000000</v>
      </c>
    </row>
    <row r="158" spans="2:13" ht="15" customHeight="1" x14ac:dyDescent="0.2">
      <c r="B158" s="16" t="s">
        <v>1002</v>
      </c>
      <c r="C158" s="16" t="s">
        <v>1004</v>
      </c>
      <c r="D158" s="46" t="s">
        <v>1051</v>
      </c>
      <c r="E158" s="16" t="s">
        <v>1015</v>
      </c>
      <c r="F158" s="16" t="s">
        <v>1023</v>
      </c>
      <c r="G158" s="16" t="s">
        <v>1028</v>
      </c>
      <c r="H158" s="21" t="s">
        <v>256</v>
      </c>
      <c r="I158" s="18" t="str">
        <f t="shared" si="80"/>
        <v xml:space="preserve"> 58F</v>
      </c>
      <c r="J158" s="22" t="s">
        <v>241</v>
      </c>
      <c r="K158" s="126">
        <v>0</v>
      </c>
      <c r="L158" s="126"/>
      <c r="M158" s="126">
        <f>+Tabla13[[#This Row],[PF INICIAL]]+Tabla13[[#This Row],[AJUSTE 1]]</f>
        <v>0</v>
      </c>
    </row>
    <row r="159" spans="2:13" ht="15" customHeight="1" x14ac:dyDescent="0.2">
      <c r="B159" s="16" t="s">
        <v>1002</v>
      </c>
      <c r="C159" s="16" t="s">
        <v>1004</v>
      </c>
      <c r="D159" s="46" t="s">
        <v>1051</v>
      </c>
      <c r="E159" s="16" t="s">
        <v>1015</v>
      </c>
      <c r="F159" s="16" t="s">
        <v>1023</v>
      </c>
      <c r="G159" s="16" t="s">
        <v>1028</v>
      </c>
      <c r="H159" s="21" t="s">
        <v>257</v>
      </c>
      <c r="I159" s="18" t="str">
        <f t="shared" si="80"/>
        <v xml:space="preserve"> 60F</v>
      </c>
      <c r="J159" s="22" t="s">
        <v>241</v>
      </c>
      <c r="K159" s="126">
        <v>0</v>
      </c>
      <c r="L159" s="126"/>
      <c r="M159" s="126">
        <f>+Tabla13[[#This Row],[PF INICIAL]]+Tabla13[[#This Row],[AJUSTE 1]]</f>
        <v>0</v>
      </c>
    </row>
    <row r="160" spans="2:13" ht="15" customHeight="1" x14ac:dyDescent="0.2">
      <c r="B160" s="16" t="s">
        <v>1002</v>
      </c>
      <c r="C160" s="16" t="s">
        <v>1004</v>
      </c>
      <c r="D160" s="46" t="s">
        <v>1051</v>
      </c>
      <c r="E160" s="16" t="s">
        <v>1015</v>
      </c>
      <c r="F160" s="16" t="s">
        <v>1023</v>
      </c>
      <c r="G160" s="16" t="s">
        <v>1028</v>
      </c>
      <c r="H160" s="21" t="s">
        <v>258</v>
      </c>
      <c r="I160" s="18" t="str">
        <f t="shared" si="80"/>
        <v xml:space="preserve"> 61F</v>
      </c>
      <c r="J160" s="22" t="s">
        <v>241</v>
      </c>
      <c r="K160" s="126">
        <v>0</v>
      </c>
      <c r="L160" s="126"/>
      <c r="M160" s="126">
        <f>+Tabla13[[#This Row],[PF INICIAL]]+Tabla13[[#This Row],[AJUSTE 1]]</f>
        <v>0</v>
      </c>
    </row>
    <row r="161" spans="2:13" ht="15" customHeight="1" x14ac:dyDescent="0.2">
      <c r="B161" s="16" t="s">
        <v>1002</v>
      </c>
      <c r="C161" s="16" t="s">
        <v>1004</v>
      </c>
      <c r="D161" s="46" t="s">
        <v>1051</v>
      </c>
      <c r="E161" s="16" t="s">
        <v>1017</v>
      </c>
      <c r="F161" s="16" t="s">
        <v>1023</v>
      </c>
      <c r="G161" s="16" t="s">
        <v>1028</v>
      </c>
      <c r="H161" s="21" t="s">
        <v>259</v>
      </c>
      <c r="I161" s="18" t="str">
        <f t="shared" si="80"/>
        <v xml:space="preserve"> 99F</v>
      </c>
      <c r="J161" s="22" t="s">
        <v>241</v>
      </c>
      <c r="K161" s="126">
        <v>0</v>
      </c>
      <c r="L161" s="126"/>
      <c r="M161" s="126">
        <f>+Tabla13[[#This Row],[PF INICIAL]]+Tabla13[[#This Row],[AJUSTE 1]]</f>
        <v>0</v>
      </c>
    </row>
    <row r="162" spans="2:13" s="13" customFormat="1" ht="15.75" customHeight="1" x14ac:dyDescent="0.25">
      <c r="B162" s="24"/>
      <c r="C162" s="24"/>
      <c r="D162" s="24"/>
      <c r="E162" s="24"/>
      <c r="F162" s="24"/>
      <c r="G162" s="24"/>
      <c r="H162" s="17" t="s">
        <v>260</v>
      </c>
      <c r="I162" s="18"/>
      <c r="J162" s="19" t="s">
        <v>261</v>
      </c>
      <c r="K162" s="152">
        <f>+K163</f>
        <v>0</v>
      </c>
      <c r="L162" s="152">
        <f t="shared" ref="L162:M163" si="81">+L163</f>
        <v>0</v>
      </c>
      <c r="M162" s="152">
        <f t="shared" si="81"/>
        <v>0</v>
      </c>
    </row>
    <row r="163" spans="2:13" s="13" customFormat="1" ht="15.75" customHeight="1" x14ac:dyDescent="0.25">
      <c r="B163" s="24"/>
      <c r="C163" s="24"/>
      <c r="D163" s="24"/>
      <c r="E163" s="24"/>
      <c r="F163" s="24"/>
      <c r="G163" s="24"/>
      <c r="H163" s="17" t="s">
        <v>262</v>
      </c>
      <c r="I163" s="18"/>
      <c r="J163" s="19" t="s">
        <v>263</v>
      </c>
      <c r="K163" s="152">
        <f>+K164</f>
        <v>0</v>
      </c>
      <c r="L163" s="152">
        <f t="shared" si="81"/>
        <v>0</v>
      </c>
      <c r="M163" s="152">
        <f t="shared" si="81"/>
        <v>0</v>
      </c>
    </row>
    <row r="164" spans="2:13" ht="15" customHeight="1" x14ac:dyDescent="0.2">
      <c r="B164" s="16" t="s">
        <v>1002</v>
      </c>
      <c r="C164" s="16" t="s">
        <v>1004</v>
      </c>
      <c r="D164" s="46" t="s">
        <v>1051</v>
      </c>
      <c r="E164" s="16" t="s">
        <v>1019</v>
      </c>
      <c r="F164" s="16" t="s">
        <v>1023</v>
      </c>
      <c r="G164" s="16" t="s">
        <v>1019</v>
      </c>
      <c r="H164" s="21" t="s">
        <v>264</v>
      </c>
      <c r="I164" s="18" t="str">
        <f>RIGHT(H164,4)</f>
        <v xml:space="preserve"> 125</v>
      </c>
      <c r="J164" s="22" t="s">
        <v>265</v>
      </c>
      <c r="K164" s="126">
        <v>0</v>
      </c>
      <c r="L164" s="126"/>
      <c r="M164" s="126">
        <f>+Tabla13[[#This Row],[PF INICIAL]]+Tabla13[[#This Row],[AJUSTE 1]]</f>
        <v>0</v>
      </c>
    </row>
    <row r="165" spans="2:13" s="13" customFormat="1" ht="15.75" customHeight="1" x14ac:dyDescent="0.25">
      <c r="B165" s="24"/>
      <c r="C165" s="24"/>
      <c r="D165" s="24"/>
      <c r="E165" s="24"/>
      <c r="F165" s="24"/>
      <c r="G165" s="24"/>
      <c r="H165" s="17" t="s">
        <v>266</v>
      </c>
      <c r="I165" s="18"/>
      <c r="J165" s="19" t="s">
        <v>267</v>
      </c>
      <c r="K165" s="152">
        <f>+K166+K171</f>
        <v>0</v>
      </c>
      <c r="L165" s="152">
        <f t="shared" ref="L165" si="82">+L166+L171</f>
        <v>0</v>
      </c>
      <c r="M165" s="152">
        <f t="shared" ref="M165" si="83">+M166+M171</f>
        <v>0</v>
      </c>
    </row>
    <row r="166" spans="2:13" s="13" customFormat="1" ht="15.75" customHeight="1" x14ac:dyDescent="0.25">
      <c r="B166" s="24"/>
      <c r="C166" s="24"/>
      <c r="D166" s="24"/>
      <c r="E166" s="24"/>
      <c r="F166" s="24"/>
      <c r="G166" s="24"/>
      <c r="H166" s="17" t="s">
        <v>268</v>
      </c>
      <c r="I166" s="18"/>
      <c r="J166" s="19" t="s">
        <v>269</v>
      </c>
      <c r="K166" s="152">
        <f>+K167+K168+K169+K170</f>
        <v>0</v>
      </c>
      <c r="L166" s="152">
        <f t="shared" ref="L166" si="84">+L167+L168+L169+L170</f>
        <v>0</v>
      </c>
      <c r="M166" s="152">
        <f t="shared" ref="M166" si="85">+M167+M168+M169+M170</f>
        <v>0</v>
      </c>
    </row>
    <row r="167" spans="2:13" ht="15" customHeight="1" x14ac:dyDescent="0.2">
      <c r="B167" s="16" t="s">
        <v>1002</v>
      </c>
      <c r="C167" s="16" t="s">
        <v>1004</v>
      </c>
      <c r="D167" s="46" t="s">
        <v>1051</v>
      </c>
      <c r="E167" s="16" t="s">
        <v>1018</v>
      </c>
      <c r="F167" s="16" t="s">
        <v>1023</v>
      </c>
      <c r="G167" s="16" t="s">
        <v>1029</v>
      </c>
      <c r="H167" s="21" t="s">
        <v>691</v>
      </c>
      <c r="I167" s="18" t="str">
        <f t="shared" ref="I167:I188" si="86">RIGHT(H167,4)</f>
        <v xml:space="preserve"> 0RB</v>
      </c>
      <c r="J167" s="22" t="s">
        <v>269</v>
      </c>
      <c r="K167" s="126"/>
      <c r="L167" s="126"/>
      <c r="M167" s="126">
        <f>+Tabla13[[#This Row],[PF INICIAL]]+Tabla13[[#This Row],[AJUSTE 1]]</f>
        <v>0</v>
      </c>
    </row>
    <row r="168" spans="2:13" ht="15" customHeight="1" x14ac:dyDescent="0.2">
      <c r="B168" s="16" t="s">
        <v>1002</v>
      </c>
      <c r="C168" s="16" t="s">
        <v>1004</v>
      </c>
      <c r="D168" s="46" t="s">
        <v>1051</v>
      </c>
      <c r="E168" s="16" t="s">
        <v>1016</v>
      </c>
      <c r="F168" s="16" t="s">
        <v>1023</v>
      </c>
      <c r="G168" s="16" t="s">
        <v>1029</v>
      </c>
      <c r="H168" s="21" t="s">
        <v>692</v>
      </c>
      <c r="I168" s="18" t="str">
        <f t="shared" si="86"/>
        <v>04DR</v>
      </c>
      <c r="J168" s="22" t="s">
        <v>269</v>
      </c>
      <c r="K168" s="126"/>
      <c r="L168" s="126"/>
      <c r="M168" s="126">
        <f>+Tabla13[[#This Row],[PF INICIAL]]+Tabla13[[#This Row],[AJUSTE 1]]</f>
        <v>0</v>
      </c>
    </row>
    <row r="169" spans="2:13" ht="15" customHeight="1" x14ac:dyDescent="0.2">
      <c r="B169" s="16" t="s">
        <v>1002</v>
      </c>
      <c r="C169" s="16" t="s">
        <v>1004</v>
      </c>
      <c r="D169" s="46" t="s">
        <v>1051</v>
      </c>
      <c r="E169" s="16" t="s">
        <v>1020</v>
      </c>
      <c r="F169" s="16" t="s">
        <v>1023</v>
      </c>
      <c r="G169" s="16" t="s">
        <v>1029</v>
      </c>
      <c r="H169" s="21" t="s">
        <v>693</v>
      </c>
      <c r="I169" s="18" t="str">
        <f t="shared" si="86"/>
        <v>191R</v>
      </c>
      <c r="J169" s="22" t="s">
        <v>269</v>
      </c>
      <c r="K169" s="126"/>
      <c r="L169" s="126"/>
      <c r="M169" s="126">
        <f>+Tabla13[[#This Row],[PF INICIAL]]+Tabla13[[#This Row],[AJUSTE 1]]</f>
        <v>0</v>
      </c>
    </row>
    <row r="170" spans="2:13" ht="15" customHeight="1" x14ac:dyDescent="0.2">
      <c r="B170" s="16" t="s">
        <v>1002</v>
      </c>
      <c r="C170" s="16" t="s">
        <v>1004</v>
      </c>
      <c r="D170" s="46" t="s">
        <v>1051</v>
      </c>
      <c r="E170" s="16" t="s">
        <v>1014</v>
      </c>
      <c r="F170" s="16" t="s">
        <v>1023</v>
      </c>
      <c r="G170" s="16" t="s">
        <v>1029</v>
      </c>
      <c r="H170" s="21" t="s">
        <v>694</v>
      </c>
      <c r="I170" s="18" t="str">
        <f t="shared" si="86"/>
        <v>20RB</v>
      </c>
      <c r="J170" s="22" t="s">
        <v>269</v>
      </c>
      <c r="K170" s="126"/>
      <c r="L170" s="126"/>
      <c r="M170" s="126">
        <f>+Tabla13[[#This Row],[PF INICIAL]]+Tabla13[[#This Row],[AJUSTE 1]]</f>
        <v>0</v>
      </c>
    </row>
    <row r="171" spans="2:13" s="13" customFormat="1" ht="15.75" customHeight="1" x14ac:dyDescent="0.25">
      <c r="B171" s="24"/>
      <c r="C171" s="24"/>
      <c r="D171" s="24"/>
      <c r="E171" s="24"/>
      <c r="F171" s="24"/>
      <c r="G171" s="24"/>
      <c r="H171" s="17" t="s">
        <v>270</v>
      </c>
      <c r="I171" s="18"/>
      <c r="J171" s="19" t="s">
        <v>271</v>
      </c>
      <c r="K171" s="152">
        <f>SUM(K172:K188)</f>
        <v>0</v>
      </c>
      <c r="L171" s="152">
        <f t="shared" ref="L171" si="87">SUM(L172:L188)</f>
        <v>0</v>
      </c>
      <c r="M171" s="152">
        <f t="shared" ref="M171" si="88">SUM(M172:M188)</f>
        <v>0</v>
      </c>
    </row>
    <row r="172" spans="2:13" ht="15" customHeight="1" x14ac:dyDescent="0.2">
      <c r="B172" s="16" t="s">
        <v>1002</v>
      </c>
      <c r="C172" s="16" t="s">
        <v>1004</v>
      </c>
      <c r="D172" s="46" t="s">
        <v>1051</v>
      </c>
      <c r="E172" s="16" t="s">
        <v>1018</v>
      </c>
      <c r="F172" s="16" t="s">
        <v>1023</v>
      </c>
      <c r="G172" s="16" t="s">
        <v>1030</v>
      </c>
      <c r="H172" s="21" t="s">
        <v>695</v>
      </c>
      <c r="I172" s="18" t="str">
        <f t="shared" si="86"/>
        <v>0FRB</v>
      </c>
      <c r="J172" s="22" t="s">
        <v>271</v>
      </c>
      <c r="K172" s="126"/>
      <c r="L172" s="126"/>
      <c r="M172" s="126">
        <f>+Tabla13[[#This Row],[PF INICIAL]]+Tabla13[[#This Row],[AJUSTE 1]]</f>
        <v>0</v>
      </c>
    </row>
    <row r="173" spans="2:13" ht="15" customHeight="1" x14ac:dyDescent="0.2">
      <c r="B173" s="16" t="s">
        <v>1002</v>
      </c>
      <c r="C173" s="16" t="s">
        <v>1004</v>
      </c>
      <c r="D173" s="46" t="s">
        <v>1051</v>
      </c>
      <c r="E173" s="16" t="s">
        <v>1018</v>
      </c>
      <c r="F173" s="16" t="s">
        <v>1023</v>
      </c>
      <c r="G173" s="16" t="s">
        <v>1030</v>
      </c>
      <c r="H173" s="21" t="s">
        <v>696</v>
      </c>
      <c r="I173" s="18" t="str">
        <f t="shared" si="86"/>
        <v>0PRB</v>
      </c>
      <c r="J173" s="22" t="s">
        <v>271</v>
      </c>
      <c r="K173" s="126"/>
      <c r="L173" s="126"/>
      <c r="M173" s="126">
        <f>+Tabla13[[#This Row],[PF INICIAL]]+Tabla13[[#This Row],[AJUSTE 1]]</f>
        <v>0</v>
      </c>
    </row>
    <row r="174" spans="2:13" ht="15" customHeight="1" x14ac:dyDescent="0.2">
      <c r="B174" s="16" t="s">
        <v>1002</v>
      </c>
      <c r="C174" s="16" t="s">
        <v>1004</v>
      </c>
      <c r="D174" s="46" t="s">
        <v>1051</v>
      </c>
      <c r="E174" s="16" t="s">
        <v>1015</v>
      </c>
      <c r="F174" s="16" t="s">
        <v>1023</v>
      </c>
      <c r="G174" s="16" t="s">
        <v>1030</v>
      </c>
      <c r="H174" s="21" t="s">
        <v>697</v>
      </c>
      <c r="I174" s="18" t="str">
        <f t="shared" si="86"/>
        <v>01RB</v>
      </c>
      <c r="J174" s="22" t="s">
        <v>271</v>
      </c>
      <c r="K174" s="126"/>
      <c r="L174" s="126"/>
      <c r="M174" s="126">
        <f>+Tabla13[[#This Row],[PF INICIAL]]+Tabla13[[#This Row],[AJUSTE 1]]</f>
        <v>0</v>
      </c>
    </row>
    <row r="175" spans="2:13" ht="15" customHeight="1" x14ac:dyDescent="0.2">
      <c r="B175" s="16" t="s">
        <v>1002</v>
      </c>
      <c r="C175" s="16" t="s">
        <v>1004</v>
      </c>
      <c r="D175" s="46" t="s">
        <v>1051</v>
      </c>
      <c r="E175" s="16" t="s">
        <v>1016</v>
      </c>
      <c r="F175" s="16" t="s">
        <v>1023</v>
      </c>
      <c r="G175" s="16" t="s">
        <v>1030</v>
      </c>
      <c r="H175" s="21" t="s">
        <v>698</v>
      </c>
      <c r="I175" s="18" t="str">
        <f t="shared" si="86"/>
        <v>04RB</v>
      </c>
      <c r="J175" s="22" t="s">
        <v>271</v>
      </c>
      <c r="K175" s="126"/>
      <c r="L175" s="126"/>
      <c r="M175" s="126">
        <f>+Tabla13[[#This Row],[PF INICIAL]]+Tabla13[[#This Row],[AJUSTE 1]]</f>
        <v>0</v>
      </c>
    </row>
    <row r="176" spans="2:13" ht="15" customHeight="1" x14ac:dyDescent="0.2">
      <c r="B176" s="16" t="s">
        <v>1002</v>
      </c>
      <c r="C176" s="16" t="s">
        <v>1004</v>
      </c>
      <c r="D176" s="46" t="s">
        <v>1051</v>
      </c>
      <c r="E176" s="16" t="s">
        <v>1016</v>
      </c>
      <c r="F176" s="16" t="s">
        <v>1023</v>
      </c>
      <c r="G176" s="16" t="s">
        <v>1030</v>
      </c>
      <c r="H176" s="21" t="s">
        <v>699</v>
      </c>
      <c r="I176" s="18" t="str">
        <f t="shared" si="86"/>
        <v>05RB</v>
      </c>
      <c r="J176" s="22" t="s">
        <v>271</v>
      </c>
      <c r="K176" s="126"/>
      <c r="L176" s="126"/>
      <c r="M176" s="126">
        <f>+Tabla13[[#This Row],[PF INICIAL]]+Tabla13[[#This Row],[AJUSTE 1]]</f>
        <v>0</v>
      </c>
    </row>
    <row r="177" spans="2:13" ht="15" customHeight="1" x14ac:dyDescent="0.2">
      <c r="B177" s="16" t="s">
        <v>1002</v>
      </c>
      <c r="C177" s="16" t="s">
        <v>1004</v>
      </c>
      <c r="D177" s="46" t="s">
        <v>1051</v>
      </c>
      <c r="E177" s="16" t="s">
        <v>1016</v>
      </c>
      <c r="F177" s="16" t="s">
        <v>1023</v>
      </c>
      <c r="G177" s="16" t="s">
        <v>1030</v>
      </c>
      <c r="H177" s="21" t="s">
        <v>700</v>
      </c>
      <c r="I177" s="18" t="str">
        <f t="shared" si="86"/>
        <v>08RB</v>
      </c>
      <c r="J177" s="22" t="s">
        <v>271</v>
      </c>
      <c r="K177" s="126"/>
      <c r="L177" s="126"/>
      <c r="M177" s="126">
        <f>+Tabla13[[#This Row],[PF INICIAL]]+Tabla13[[#This Row],[AJUSTE 1]]</f>
        <v>0</v>
      </c>
    </row>
    <row r="178" spans="2:13" ht="15" customHeight="1" x14ac:dyDescent="0.2">
      <c r="B178" s="16" t="s">
        <v>1002</v>
      </c>
      <c r="C178" s="16" t="s">
        <v>1004</v>
      </c>
      <c r="D178" s="46" t="s">
        <v>1051</v>
      </c>
      <c r="E178" s="16" t="s">
        <v>1015</v>
      </c>
      <c r="F178" s="16" t="s">
        <v>1023</v>
      </c>
      <c r="G178" s="16" t="s">
        <v>1030</v>
      </c>
      <c r="H178" s="21" t="s">
        <v>701</v>
      </c>
      <c r="I178" s="18" t="str">
        <f t="shared" si="86"/>
        <v>10RB</v>
      </c>
      <c r="J178" s="22" t="s">
        <v>271</v>
      </c>
      <c r="K178" s="126"/>
      <c r="L178" s="126"/>
      <c r="M178" s="126">
        <f>+Tabla13[[#This Row],[PF INICIAL]]+Tabla13[[#This Row],[AJUSTE 1]]</f>
        <v>0</v>
      </c>
    </row>
    <row r="179" spans="2:13" ht="15" customHeight="1" x14ac:dyDescent="0.2">
      <c r="B179" s="16" t="s">
        <v>1002</v>
      </c>
      <c r="C179" s="16" t="s">
        <v>1004</v>
      </c>
      <c r="D179" s="46" t="s">
        <v>1051</v>
      </c>
      <c r="E179" s="16" t="s">
        <v>1015</v>
      </c>
      <c r="F179" s="16" t="s">
        <v>1023</v>
      </c>
      <c r="G179" s="16" t="s">
        <v>1030</v>
      </c>
      <c r="H179" s="21" t="s">
        <v>702</v>
      </c>
      <c r="I179" s="18" t="str">
        <f t="shared" si="86"/>
        <v>100I</v>
      </c>
      <c r="J179" s="22" t="s">
        <v>271</v>
      </c>
      <c r="K179" s="126"/>
      <c r="L179" s="126"/>
      <c r="M179" s="126">
        <f>+Tabla13[[#This Row],[PF INICIAL]]+Tabla13[[#This Row],[AJUSTE 1]]</f>
        <v>0</v>
      </c>
    </row>
    <row r="180" spans="2:13" ht="15" customHeight="1" x14ac:dyDescent="0.2">
      <c r="B180" s="16" t="s">
        <v>1002</v>
      </c>
      <c r="C180" s="16" t="s">
        <v>1004</v>
      </c>
      <c r="D180" s="46" t="s">
        <v>1051</v>
      </c>
      <c r="E180" s="16" t="s">
        <v>1015</v>
      </c>
      <c r="F180" s="16" t="s">
        <v>1023</v>
      </c>
      <c r="G180" s="16" t="s">
        <v>1030</v>
      </c>
      <c r="H180" s="21" t="s">
        <v>703</v>
      </c>
      <c r="I180" s="18" t="str">
        <f t="shared" si="86"/>
        <v>13RB</v>
      </c>
      <c r="J180" s="22" t="s">
        <v>271</v>
      </c>
      <c r="K180" s="126"/>
      <c r="L180" s="126"/>
      <c r="M180" s="126">
        <f>+Tabla13[[#This Row],[PF INICIAL]]+Tabla13[[#This Row],[AJUSTE 1]]</f>
        <v>0</v>
      </c>
    </row>
    <row r="181" spans="2:13" ht="15" customHeight="1" x14ac:dyDescent="0.2">
      <c r="B181" s="16" t="s">
        <v>1002</v>
      </c>
      <c r="C181" s="16" t="s">
        <v>1004</v>
      </c>
      <c r="D181" s="46" t="s">
        <v>1051</v>
      </c>
      <c r="E181" s="16" t="s">
        <v>1015</v>
      </c>
      <c r="F181" s="16" t="s">
        <v>1023</v>
      </c>
      <c r="G181" s="16" t="s">
        <v>1030</v>
      </c>
      <c r="H181" s="21" t="s">
        <v>704</v>
      </c>
      <c r="I181" s="18" t="str">
        <f t="shared" si="86"/>
        <v>14RB</v>
      </c>
      <c r="J181" s="22" t="s">
        <v>271</v>
      </c>
      <c r="K181" s="126"/>
      <c r="L181" s="126"/>
      <c r="M181" s="126">
        <f>+Tabla13[[#This Row],[PF INICIAL]]+Tabla13[[#This Row],[AJUSTE 1]]</f>
        <v>0</v>
      </c>
    </row>
    <row r="182" spans="2:13" ht="15" customHeight="1" x14ac:dyDescent="0.2">
      <c r="B182" s="16" t="s">
        <v>1002</v>
      </c>
      <c r="C182" s="16" t="s">
        <v>1004</v>
      </c>
      <c r="D182" s="46" t="s">
        <v>1051</v>
      </c>
      <c r="E182" s="16" t="s">
        <v>1020</v>
      </c>
      <c r="F182" s="16" t="s">
        <v>1023</v>
      </c>
      <c r="G182" s="16" t="s">
        <v>1030</v>
      </c>
      <c r="H182" s="21" t="s">
        <v>705</v>
      </c>
      <c r="I182" s="18" t="str">
        <f t="shared" si="86"/>
        <v>191R</v>
      </c>
      <c r="J182" s="22" t="s">
        <v>271</v>
      </c>
      <c r="K182" s="126"/>
      <c r="L182" s="126"/>
      <c r="M182" s="126">
        <f>+Tabla13[[#This Row],[PF INICIAL]]+Tabla13[[#This Row],[AJUSTE 1]]</f>
        <v>0</v>
      </c>
    </row>
    <row r="183" spans="2:13" ht="15" customHeight="1" x14ac:dyDescent="0.2">
      <c r="B183" s="16" t="s">
        <v>1002</v>
      </c>
      <c r="C183" s="16" t="s">
        <v>1004</v>
      </c>
      <c r="D183" s="46" t="s">
        <v>1051</v>
      </c>
      <c r="E183" s="16" t="s">
        <v>1020</v>
      </c>
      <c r="F183" s="16" t="s">
        <v>1023</v>
      </c>
      <c r="G183" s="16" t="s">
        <v>1030</v>
      </c>
      <c r="H183" s="21" t="s">
        <v>706</v>
      </c>
      <c r="I183" s="18" t="str">
        <f t="shared" si="86"/>
        <v>193R</v>
      </c>
      <c r="J183" s="22" t="s">
        <v>271</v>
      </c>
      <c r="K183" s="126"/>
      <c r="L183" s="126"/>
      <c r="M183" s="126">
        <f>+Tabla13[[#This Row],[PF INICIAL]]+Tabla13[[#This Row],[AJUSTE 1]]</f>
        <v>0</v>
      </c>
    </row>
    <row r="184" spans="2:13" ht="15" customHeight="1" x14ac:dyDescent="0.2">
      <c r="B184" s="16" t="s">
        <v>1002</v>
      </c>
      <c r="C184" s="16" t="s">
        <v>1004</v>
      </c>
      <c r="D184" s="46" t="s">
        <v>1051</v>
      </c>
      <c r="E184" s="16" t="s">
        <v>1014</v>
      </c>
      <c r="F184" s="16" t="s">
        <v>1023</v>
      </c>
      <c r="G184" s="16" t="s">
        <v>1030</v>
      </c>
      <c r="H184" s="21" t="s">
        <v>707</v>
      </c>
      <c r="I184" s="18" t="str">
        <f t="shared" si="86"/>
        <v>20RB</v>
      </c>
      <c r="J184" s="22" t="s">
        <v>271</v>
      </c>
      <c r="K184" s="126"/>
      <c r="L184" s="126"/>
      <c r="M184" s="126">
        <f>+Tabla13[[#This Row],[PF INICIAL]]+Tabla13[[#This Row],[AJUSTE 1]]</f>
        <v>0</v>
      </c>
    </row>
    <row r="185" spans="2:13" ht="15" customHeight="1" x14ac:dyDescent="0.2">
      <c r="B185" s="16" t="s">
        <v>1002</v>
      </c>
      <c r="C185" s="16" t="s">
        <v>1004</v>
      </c>
      <c r="D185" s="46" t="s">
        <v>1051</v>
      </c>
      <c r="E185" s="16" t="s">
        <v>1015</v>
      </c>
      <c r="F185" s="16" t="s">
        <v>1023</v>
      </c>
      <c r="G185" s="16" t="s">
        <v>1030</v>
      </c>
      <c r="H185" s="21" t="s">
        <v>708</v>
      </c>
      <c r="I185" s="18" t="str">
        <f t="shared" si="86"/>
        <v>23RB</v>
      </c>
      <c r="J185" s="22" t="s">
        <v>271</v>
      </c>
      <c r="K185" s="126"/>
      <c r="L185" s="126"/>
      <c r="M185" s="126">
        <f>+Tabla13[[#This Row],[PF INICIAL]]+Tabla13[[#This Row],[AJUSTE 1]]</f>
        <v>0</v>
      </c>
    </row>
    <row r="186" spans="2:13" ht="15" customHeight="1" x14ac:dyDescent="0.2">
      <c r="B186" s="16" t="s">
        <v>1002</v>
      </c>
      <c r="C186" s="16" t="s">
        <v>1004</v>
      </c>
      <c r="D186" s="46" t="s">
        <v>1051</v>
      </c>
      <c r="E186" s="16" t="s">
        <v>1015</v>
      </c>
      <c r="F186" s="16" t="s">
        <v>1023</v>
      </c>
      <c r="G186" s="16" t="s">
        <v>1030</v>
      </c>
      <c r="H186" s="21" t="s">
        <v>709</v>
      </c>
      <c r="I186" s="18" t="str">
        <f t="shared" si="86"/>
        <v>60RB</v>
      </c>
      <c r="J186" s="22" t="s">
        <v>271</v>
      </c>
      <c r="K186" s="126"/>
      <c r="L186" s="126"/>
      <c r="M186" s="126">
        <f>+Tabla13[[#This Row],[PF INICIAL]]+Tabla13[[#This Row],[AJUSTE 1]]</f>
        <v>0</v>
      </c>
    </row>
    <row r="187" spans="2:13" ht="15" customHeight="1" x14ac:dyDescent="0.2">
      <c r="B187" s="16" t="s">
        <v>1002</v>
      </c>
      <c r="C187" s="16" t="s">
        <v>1004</v>
      </c>
      <c r="D187" s="46" t="s">
        <v>1051</v>
      </c>
      <c r="E187" s="16" t="s">
        <v>1015</v>
      </c>
      <c r="F187" s="16" t="s">
        <v>1023</v>
      </c>
      <c r="G187" s="16" t="s">
        <v>1030</v>
      </c>
      <c r="H187" s="21" t="s">
        <v>710</v>
      </c>
      <c r="I187" s="18" t="str">
        <f t="shared" si="86"/>
        <v>61RB</v>
      </c>
      <c r="J187" s="22" t="s">
        <v>271</v>
      </c>
      <c r="K187" s="126"/>
      <c r="L187" s="126"/>
      <c r="M187" s="126">
        <f>+Tabla13[[#This Row],[PF INICIAL]]+Tabla13[[#This Row],[AJUSTE 1]]</f>
        <v>0</v>
      </c>
    </row>
    <row r="188" spans="2:13" ht="15" customHeight="1" x14ac:dyDescent="0.2">
      <c r="B188" s="16" t="s">
        <v>1002</v>
      </c>
      <c r="C188" s="16" t="s">
        <v>1004</v>
      </c>
      <c r="D188" s="46" t="s">
        <v>1051</v>
      </c>
      <c r="E188" s="16" t="s">
        <v>1017</v>
      </c>
      <c r="F188" s="16" t="s">
        <v>1023</v>
      </c>
      <c r="G188" s="16" t="s">
        <v>1030</v>
      </c>
      <c r="H188" s="21" t="s">
        <v>711</v>
      </c>
      <c r="I188" s="18" t="str">
        <f t="shared" si="86"/>
        <v>99RB</v>
      </c>
      <c r="J188" s="22" t="s">
        <v>271</v>
      </c>
      <c r="K188" s="126"/>
      <c r="L188" s="126"/>
      <c r="M188" s="126">
        <f>+Tabla13[[#This Row],[PF INICIAL]]+Tabla13[[#This Row],[AJUSTE 1]]</f>
        <v>0</v>
      </c>
    </row>
    <row r="189" spans="2:13" s="13" customFormat="1" ht="15.75" customHeight="1" x14ac:dyDescent="0.25">
      <c r="B189" s="24"/>
      <c r="C189" s="24"/>
      <c r="D189" s="24"/>
      <c r="E189" s="24"/>
      <c r="F189" s="24"/>
      <c r="G189" s="24"/>
      <c r="H189" s="17" t="s">
        <v>272</v>
      </c>
      <c r="I189" s="18"/>
      <c r="J189" s="19" t="s">
        <v>273</v>
      </c>
      <c r="K189" s="152">
        <f>+K190</f>
        <v>0</v>
      </c>
      <c r="L189" s="152">
        <f t="shared" ref="L189:M189" si="89">+L190</f>
        <v>0</v>
      </c>
      <c r="M189" s="152">
        <f t="shared" si="89"/>
        <v>0</v>
      </c>
    </row>
    <row r="190" spans="2:13" s="13" customFormat="1" ht="15.75" customHeight="1" x14ac:dyDescent="0.25">
      <c r="B190" s="24"/>
      <c r="C190" s="24"/>
      <c r="D190" s="24"/>
      <c r="E190" s="24"/>
      <c r="F190" s="24"/>
      <c r="G190" s="24"/>
      <c r="H190" s="17" t="s">
        <v>274</v>
      </c>
      <c r="I190" s="18"/>
      <c r="J190" s="19" t="s">
        <v>275</v>
      </c>
      <c r="K190" s="152">
        <f>SUM(K191:K201)</f>
        <v>0</v>
      </c>
      <c r="L190" s="152">
        <f t="shared" ref="L190" si="90">SUM(L191:L201)</f>
        <v>0</v>
      </c>
      <c r="M190" s="152">
        <f t="shared" ref="M190" si="91">SUM(M191:M201)</f>
        <v>0</v>
      </c>
    </row>
    <row r="191" spans="2:13" ht="15" customHeight="1" x14ac:dyDescent="0.2">
      <c r="B191" s="16" t="s">
        <v>1002</v>
      </c>
      <c r="C191" s="16" t="s">
        <v>1004</v>
      </c>
      <c r="D191" s="46" t="s">
        <v>1051</v>
      </c>
      <c r="E191" s="16" t="s">
        <v>1016</v>
      </c>
      <c r="F191" s="16" t="s">
        <v>1023</v>
      </c>
      <c r="G191" s="16" t="s">
        <v>1031</v>
      </c>
      <c r="H191" s="21" t="s">
        <v>276</v>
      </c>
      <c r="I191" s="18" t="str">
        <f t="shared" ref="I191:I203" si="92">RIGHT(H191,4)</f>
        <v>- 04</v>
      </c>
      <c r="J191" s="22" t="s">
        <v>275</v>
      </c>
      <c r="K191" s="126">
        <v>0</v>
      </c>
      <c r="L191" s="126"/>
      <c r="M191" s="126">
        <f>+Tabla13[[#This Row],[PF INICIAL]]+Tabla13[[#This Row],[AJUSTE 1]]</f>
        <v>0</v>
      </c>
    </row>
    <row r="192" spans="2:13" ht="15" customHeight="1" x14ac:dyDescent="0.2">
      <c r="B192" s="16" t="s">
        <v>1002</v>
      </c>
      <c r="C192" s="16" t="s">
        <v>1004</v>
      </c>
      <c r="D192" s="46" t="s">
        <v>1051</v>
      </c>
      <c r="E192" s="16" t="s">
        <v>1016</v>
      </c>
      <c r="F192" s="16" t="s">
        <v>1023</v>
      </c>
      <c r="G192" s="16" t="s">
        <v>1031</v>
      </c>
      <c r="H192" s="21" t="s">
        <v>712</v>
      </c>
      <c r="I192" s="18" t="str">
        <f t="shared" si="92"/>
        <v>- 05</v>
      </c>
      <c r="J192" s="22" t="s">
        <v>275</v>
      </c>
      <c r="K192" s="126"/>
      <c r="L192" s="126"/>
      <c r="M192" s="126">
        <f>+Tabla13[[#This Row],[PF INICIAL]]+Tabla13[[#This Row],[AJUSTE 1]]</f>
        <v>0</v>
      </c>
    </row>
    <row r="193" spans="2:13" ht="15" customHeight="1" x14ac:dyDescent="0.2">
      <c r="B193" s="16" t="s">
        <v>1002</v>
      </c>
      <c r="C193" s="16" t="s">
        <v>1004</v>
      </c>
      <c r="D193" s="46" t="s">
        <v>1051</v>
      </c>
      <c r="E193" s="16" t="s">
        <v>1016</v>
      </c>
      <c r="F193" s="16" t="s">
        <v>1023</v>
      </c>
      <c r="G193" s="16" t="s">
        <v>1031</v>
      </c>
      <c r="H193" s="21" t="s">
        <v>713</v>
      </c>
      <c r="I193" s="18" t="str">
        <f t="shared" si="92"/>
        <v>- 08</v>
      </c>
      <c r="J193" s="22" t="s">
        <v>275</v>
      </c>
      <c r="K193" s="126"/>
      <c r="L193" s="126"/>
      <c r="M193" s="126">
        <f>+Tabla13[[#This Row],[PF INICIAL]]+Tabla13[[#This Row],[AJUSTE 1]]</f>
        <v>0</v>
      </c>
    </row>
    <row r="194" spans="2:13" ht="15" customHeight="1" x14ac:dyDescent="0.2">
      <c r="B194" s="16" t="s">
        <v>1002</v>
      </c>
      <c r="C194" s="16" t="s">
        <v>1004</v>
      </c>
      <c r="D194" s="46" t="s">
        <v>1051</v>
      </c>
      <c r="E194" s="16" t="s">
        <v>1015</v>
      </c>
      <c r="F194" s="16" t="s">
        <v>1023</v>
      </c>
      <c r="G194" s="16" t="s">
        <v>1031</v>
      </c>
      <c r="H194" s="21" t="s">
        <v>714</v>
      </c>
      <c r="I194" s="18" t="str">
        <f t="shared" si="92"/>
        <v>100I</v>
      </c>
      <c r="J194" s="22" t="s">
        <v>275</v>
      </c>
      <c r="K194" s="126"/>
      <c r="L194" s="126"/>
      <c r="M194" s="126">
        <f>+Tabla13[[#This Row],[PF INICIAL]]+Tabla13[[#This Row],[AJUSTE 1]]</f>
        <v>0</v>
      </c>
    </row>
    <row r="195" spans="2:13" ht="15" customHeight="1" x14ac:dyDescent="0.2">
      <c r="B195" s="16" t="s">
        <v>1002</v>
      </c>
      <c r="C195" s="16" t="s">
        <v>1004</v>
      </c>
      <c r="D195" s="46" t="s">
        <v>1051</v>
      </c>
      <c r="E195" s="16" t="s">
        <v>1019</v>
      </c>
      <c r="F195" s="16" t="s">
        <v>1023</v>
      </c>
      <c r="G195" s="16" t="s">
        <v>1031</v>
      </c>
      <c r="H195" s="21" t="s">
        <v>715</v>
      </c>
      <c r="I195" s="18" t="str">
        <f t="shared" si="92"/>
        <v xml:space="preserve"> 125</v>
      </c>
      <c r="J195" s="22" t="s">
        <v>275</v>
      </c>
      <c r="K195" s="126"/>
      <c r="L195" s="126"/>
      <c r="M195" s="126">
        <f>+Tabla13[[#This Row],[PF INICIAL]]+Tabla13[[#This Row],[AJUSTE 1]]</f>
        <v>0</v>
      </c>
    </row>
    <row r="196" spans="2:13" ht="15" customHeight="1" x14ac:dyDescent="0.2">
      <c r="B196" s="16" t="s">
        <v>1002</v>
      </c>
      <c r="C196" s="16" t="s">
        <v>1004</v>
      </c>
      <c r="D196" s="46" t="s">
        <v>1051</v>
      </c>
      <c r="E196" s="16" t="s">
        <v>1015</v>
      </c>
      <c r="F196" s="16" t="s">
        <v>1023</v>
      </c>
      <c r="G196" s="16" t="s">
        <v>1031</v>
      </c>
      <c r="H196" s="21" t="s">
        <v>716</v>
      </c>
      <c r="I196" s="18" t="str">
        <f t="shared" si="92"/>
        <v>- 13</v>
      </c>
      <c r="J196" s="22" t="s">
        <v>275</v>
      </c>
      <c r="K196" s="126"/>
      <c r="L196" s="126"/>
      <c r="M196" s="126">
        <f>+Tabla13[[#This Row],[PF INICIAL]]+Tabla13[[#This Row],[AJUSTE 1]]</f>
        <v>0</v>
      </c>
    </row>
    <row r="197" spans="2:13" ht="15" customHeight="1" x14ac:dyDescent="0.2">
      <c r="B197" s="16" t="s">
        <v>1002</v>
      </c>
      <c r="C197" s="16" t="s">
        <v>1004</v>
      </c>
      <c r="D197" s="46" t="s">
        <v>1051</v>
      </c>
      <c r="E197" s="16" t="s">
        <v>1015</v>
      </c>
      <c r="F197" s="16" t="s">
        <v>1023</v>
      </c>
      <c r="G197" s="16" t="s">
        <v>1031</v>
      </c>
      <c r="H197" s="21" t="s">
        <v>717</v>
      </c>
      <c r="I197" s="18" t="str">
        <f t="shared" si="92"/>
        <v>- 17</v>
      </c>
      <c r="J197" s="22" t="s">
        <v>275</v>
      </c>
      <c r="K197" s="126"/>
      <c r="L197" s="126"/>
      <c r="M197" s="126">
        <f>+Tabla13[[#This Row],[PF INICIAL]]+Tabla13[[#This Row],[AJUSTE 1]]</f>
        <v>0</v>
      </c>
    </row>
    <row r="198" spans="2:13" ht="15" customHeight="1" x14ac:dyDescent="0.2">
      <c r="B198" s="16" t="s">
        <v>1002</v>
      </c>
      <c r="C198" s="16" t="s">
        <v>1004</v>
      </c>
      <c r="D198" s="46" t="s">
        <v>1051</v>
      </c>
      <c r="E198" s="16" t="s">
        <v>1020</v>
      </c>
      <c r="F198" s="16" t="s">
        <v>1023</v>
      </c>
      <c r="G198" s="16" t="s">
        <v>1031</v>
      </c>
      <c r="H198" s="21" t="s">
        <v>718</v>
      </c>
      <c r="I198" s="18" t="str">
        <f t="shared" si="92"/>
        <v xml:space="preserve"> 191</v>
      </c>
      <c r="J198" s="22" t="s">
        <v>275</v>
      </c>
      <c r="K198" s="126"/>
      <c r="L198" s="126"/>
      <c r="M198" s="126">
        <f>+Tabla13[[#This Row],[PF INICIAL]]+Tabla13[[#This Row],[AJUSTE 1]]</f>
        <v>0</v>
      </c>
    </row>
    <row r="199" spans="2:13" ht="15" customHeight="1" x14ac:dyDescent="0.2">
      <c r="B199" s="16" t="s">
        <v>1002</v>
      </c>
      <c r="C199" s="16" t="s">
        <v>1004</v>
      </c>
      <c r="D199" s="46" t="s">
        <v>1051</v>
      </c>
      <c r="E199" s="16" t="s">
        <v>1020</v>
      </c>
      <c r="F199" s="16" t="s">
        <v>1023</v>
      </c>
      <c r="G199" s="16" t="s">
        <v>1031</v>
      </c>
      <c r="H199" s="21" t="s">
        <v>719</v>
      </c>
      <c r="I199" s="18" t="str">
        <f t="shared" si="92"/>
        <v xml:space="preserve"> 193</v>
      </c>
      <c r="J199" s="22" t="s">
        <v>275</v>
      </c>
      <c r="K199" s="126"/>
      <c r="L199" s="126"/>
      <c r="M199" s="126">
        <f>+Tabla13[[#This Row],[PF INICIAL]]+Tabla13[[#This Row],[AJUSTE 1]]</f>
        <v>0</v>
      </c>
    </row>
    <row r="200" spans="2:13" ht="15" customHeight="1" x14ac:dyDescent="0.2">
      <c r="B200" s="16" t="s">
        <v>1002</v>
      </c>
      <c r="C200" s="16" t="s">
        <v>1004</v>
      </c>
      <c r="D200" s="46" t="s">
        <v>1051</v>
      </c>
      <c r="E200" s="16" t="s">
        <v>1014</v>
      </c>
      <c r="F200" s="16" t="s">
        <v>1023</v>
      </c>
      <c r="G200" s="16" t="s">
        <v>1031</v>
      </c>
      <c r="H200" s="21" t="s">
        <v>720</v>
      </c>
      <c r="I200" s="18" t="str">
        <f t="shared" si="92"/>
        <v>- 20</v>
      </c>
      <c r="J200" s="22" t="s">
        <v>275</v>
      </c>
      <c r="K200" s="126"/>
      <c r="L200" s="126"/>
      <c r="M200" s="126">
        <f>+Tabla13[[#This Row],[PF INICIAL]]+Tabla13[[#This Row],[AJUSTE 1]]</f>
        <v>0</v>
      </c>
    </row>
    <row r="201" spans="2:13" ht="15" customHeight="1" x14ac:dyDescent="0.2">
      <c r="B201" s="16" t="s">
        <v>1002</v>
      </c>
      <c r="C201" s="16" t="s">
        <v>1004</v>
      </c>
      <c r="D201" s="46" t="s">
        <v>1051</v>
      </c>
      <c r="E201" s="16" t="s">
        <v>1015</v>
      </c>
      <c r="F201" s="16" t="s">
        <v>1023</v>
      </c>
      <c r="G201" s="16" t="s">
        <v>1031</v>
      </c>
      <c r="H201" s="21" t="s">
        <v>721</v>
      </c>
      <c r="I201" s="18" t="str">
        <f t="shared" si="92"/>
        <v>- 23</v>
      </c>
      <c r="J201" s="22" t="s">
        <v>275</v>
      </c>
      <c r="K201" s="126"/>
      <c r="L201" s="126"/>
      <c r="M201" s="126">
        <f>+Tabla13[[#This Row],[PF INICIAL]]+Tabla13[[#This Row],[AJUSTE 1]]</f>
        <v>0</v>
      </c>
    </row>
    <row r="202" spans="2:13" s="13" customFormat="1" ht="15.75" customHeight="1" x14ac:dyDescent="0.25">
      <c r="B202" s="24"/>
      <c r="C202" s="24"/>
      <c r="D202" s="24"/>
      <c r="E202" s="24"/>
      <c r="F202" s="24"/>
      <c r="G202" s="24"/>
      <c r="H202" s="17" t="s">
        <v>277</v>
      </c>
      <c r="I202" s="18"/>
      <c r="J202" s="19" t="s">
        <v>278</v>
      </c>
      <c r="K202" s="152">
        <f>+K203</f>
        <v>0</v>
      </c>
      <c r="L202" s="152">
        <f t="shared" ref="L202:M202" si="93">+L203</f>
        <v>0</v>
      </c>
      <c r="M202" s="152">
        <f t="shared" si="93"/>
        <v>0</v>
      </c>
    </row>
    <row r="203" spans="2:13" ht="15" customHeight="1" x14ac:dyDescent="0.2">
      <c r="B203" s="16" t="s">
        <v>1002</v>
      </c>
      <c r="C203" s="16" t="s">
        <v>1004</v>
      </c>
      <c r="D203" s="46" t="s">
        <v>1051</v>
      </c>
      <c r="E203" s="16" t="s">
        <v>1014</v>
      </c>
      <c r="F203" s="16" t="s">
        <v>1023</v>
      </c>
      <c r="G203" s="16" t="s">
        <v>1032</v>
      </c>
      <c r="H203" s="21" t="s">
        <v>279</v>
      </c>
      <c r="I203" s="18" t="str">
        <f t="shared" si="92"/>
        <v>- 20</v>
      </c>
      <c r="J203" s="22" t="s">
        <v>278</v>
      </c>
      <c r="K203" s="126">
        <v>0</v>
      </c>
      <c r="L203" s="126"/>
      <c r="M203" s="126">
        <f>+Tabla13[[#This Row],[PF INICIAL]]+Tabla13[[#This Row],[AJUSTE 1]]</f>
        <v>0</v>
      </c>
    </row>
    <row r="204" spans="2:13" ht="15.75" customHeight="1" x14ac:dyDescent="0.25">
      <c r="B204" s="16"/>
      <c r="C204" s="16"/>
      <c r="D204" s="16"/>
      <c r="E204" s="16"/>
      <c r="F204" s="16"/>
      <c r="G204" s="16"/>
      <c r="H204" s="25" t="s">
        <v>776</v>
      </c>
      <c r="I204" s="186"/>
      <c r="J204" s="25"/>
      <c r="K204" s="153">
        <f>+K6</f>
        <v>438913691636</v>
      </c>
      <c r="L204" s="153">
        <f>+L6</f>
        <v>0</v>
      </c>
      <c r="M204" s="153">
        <f>+M6</f>
        <v>438913691636</v>
      </c>
    </row>
    <row r="205" spans="2:13" ht="15" customHeight="1" x14ac:dyDescent="0.2">
      <c r="B205" s="16"/>
      <c r="C205" s="16"/>
      <c r="D205" s="16"/>
      <c r="E205" s="16"/>
      <c r="F205" s="16"/>
      <c r="G205" s="16"/>
      <c r="H205" s="21"/>
      <c r="I205" s="18"/>
      <c r="J205" s="22"/>
      <c r="K205" s="154"/>
      <c r="L205" s="154"/>
      <c r="M205" s="154"/>
    </row>
    <row r="206" spans="2:13" ht="15.75" customHeight="1" x14ac:dyDescent="0.2">
      <c r="B206" s="16"/>
      <c r="C206" s="16"/>
      <c r="D206" s="16"/>
      <c r="E206" s="16"/>
      <c r="F206" s="16"/>
      <c r="G206" s="16"/>
      <c r="H206" s="28" t="s">
        <v>777</v>
      </c>
      <c r="I206" s="29"/>
      <c r="J206" s="30"/>
      <c r="K206" s="154"/>
      <c r="L206" s="154"/>
      <c r="M206" s="154"/>
    </row>
    <row r="207" spans="2:13" ht="16.5" customHeight="1" x14ac:dyDescent="0.2">
      <c r="B207" s="16"/>
      <c r="C207" s="16"/>
      <c r="D207" s="16"/>
      <c r="E207" s="16"/>
      <c r="F207" s="16"/>
      <c r="G207" s="16"/>
      <c r="H207" s="31" t="s">
        <v>778</v>
      </c>
      <c r="I207" s="29"/>
      <c r="J207" s="32" t="s">
        <v>779</v>
      </c>
      <c r="K207" s="155"/>
      <c r="L207" s="155"/>
      <c r="M207" s="155"/>
    </row>
    <row r="208" spans="2:13" s="13" customFormat="1" ht="15.75" customHeight="1" x14ac:dyDescent="0.25">
      <c r="B208" s="24"/>
      <c r="C208" s="24"/>
      <c r="D208" s="24"/>
      <c r="E208" s="24"/>
      <c r="F208" s="24"/>
      <c r="G208" s="24"/>
      <c r="H208" s="17" t="s">
        <v>280</v>
      </c>
      <c r="I208" s="18"/>
      <c r="J208" s="19" t="s">
        <v>1</v>
      </c>
      <c r="K208" s="156">
        <f>+K209+K232</f>
        <v>594675672654</v>
      </c>
      <c r="L208" s="156">
        <f t="shared" ref="L208" si="94">+L209+L232</f>
        <v>0</v>
      </c>
      <c r="M208" s="156">
        <f t="shared" ref="M208" si="95">+M209+M232</f>
        <v>594675672654</v>
      </c>
    </row>
    <row r="209" spans="2:13" s="13" customFormat="1" ht="15.75" customHeight="1" x14ac:dyDescent="0.25">
      <c r="B209" s="24"/>
      <c r="C209" s="24"/>
      <c r="D209" s="24"/>
      <c r="E209" s="24"/>
      <c r="F209" s="24"/>
      <c r="G209" s="24"/>
      <c r="H209" s="17" t="s">
        <v>281</v>
      </c>
      <c r="I209" s="18"/>
      <c r="J209" s="19" t="s">
        <v>3</v>
      </c>
      <c r="K209" s="156">
        <f>+K210</f>
        <v>594075672654</v>
      </c>
      <c r="L209" s="156">
        <f t="shared" ref="L209:M209" si="96">+L210</f>
        <v>0</v>
      </c>
      <c r="M209" s="156">
        <f t="shared" si="96"/>
        <v>594075672654</v>
      </c>
    </row>
    <row r="210" spans="2:13" s="13" customFormat="1" ht="15.75" customHeight="1" x14ac:dyDescent="0.25">
      <c r="B210" s="24"/>
      <c r="C210" s="24"/>
      <c r="D210" s="24"/>
      <c r="E210" s="24"/>
      <c r="F210" s="24"/>
      <c r="G210" s="24"/>
      <c r="H210" s="17" t="s">
        <v>282</v>
      </c>
      <c r="I210" s="18"/>
      <c r="J210" s="19" t="s">
        <v>86</v>
      </c>
      <c r="K210" s="156">
        <f>+K211+K224</f>
        <v>594075672654</v>
      </c>
      <c r="L210" s="156">
        <f t="shared" ref="L210" si="97">+L211+L224</f>
        <v>0</v>
      </c>
      <c r="M210" s="156">
        <f t="shared" ref="M210" si="98">+M211+M224</f>
        <v>594075672654</v>
      </c>
    </row>
    <row r="211" spans="2:13" s="13" customFormat="1" ht="15.75" customHeight="1" x14ac:dyDescent="0.25">
      <c r="B211" s="24"/>
      <c r="C211" s="24"/>
      <c r="D211" s="24"/>
      <c r="E211" s="24"/>
      <c r="F211" s="24"/>
      <c r="G211" s="24"/>
      <c r="H211" s="17" t="s">
        <v>283</v>
      </c>
      <c r="I211" s="18"/>
      <c r="J211" s="19" t="s">
        <v>164</v>
      </c>
      <c r="K211" s="156">
        <f>+K212+K221</f>
        <v>593935923534</v>
      </c>
      <c r="L211" s="156">
        <f t="shared" ref="L211" si="99">+L212+L221</f>
        <v>0</v>
      </c>
      <c r="M211" s="156">
        <f t="shared" ref="M211" si="100">+M212+M221</f>
        <v>593935923534</v>
      </c>
    </row>
    <row r="212" spans="2:13" ht="15.75" customHeight="1" x14ac:dyDescent="0.2">
      <c r="B212" s="16"/>
      <c r="C212" s="16"/>
      <c r="D212" s="16"/>
      <c r="E212" s="16"/>
      <c r="F212" s="16"/>
      <c r="G212" s="16"/>
      <c r="H212" s="21" t="s">
        <v>284</v>
      </c>
      <c r="I212" s="18"/>
      <c r="J212" s="22" t="s">
        <v>166</v>
      </c>
      <c r="K212" s="157">
        <f>+K213</f>
        <v>553214942534</v>
      </c>
      <c r="L212" s="157">
        <f t="shared" ref="L212:M212" si="101">+L213</f>
        <v>0</v>
      </c>
      <c r="M212" s="157">
        <f t="shared" si="101"/>
        <v>553214942534</v>
      </c>
    </row>
    <row r="213" spans="2:13" ht="15" customHeight="1" x14ac:dyDescent="0.2">
      <c r="B213" s="16"/>
      <c r="C213" s="16"/>
      <c r="D213" s="16"/>
      <c r="E213" s="16"/>
      <c r="F213" s="16"/>
      <c r="G213" s="16"/>
      <c r="H213" s="21" t="s">
        <v>285</v>
      </c>
      <c r="I213" s="18"/>
      <c r="J213" s="22" t="s">
        <v>286</v>
      </c>
      <c r="K213" s="157">
        <f>+K214+K219</f>
        <v>553214942534</v>
      </c>
      <c r="L213" s="157">
        <f t="shared" ref="L213" si="102">+L214+L219</f>
        <v>0</v>
      </c>
      <c r="M213" s="157">
        <f t="shared" ref="M213" si="103">+M214+M219</f>
        <v>553214942534</v>
      </c>
    </row>
    <row r="214" spans="2:13" ht="15" customHeight="1" x14ac:dyDescent="0.2">
      <c r="B214" s="16"/>
      <c r="C214" s="16"/>
      <c r="D214" s="16"/>
      <c r="E214" s="16"/>
      <c r="F214" s="16"/>
      <c r="G214" s="16"/>
      <c r="H214" s="21" t="s">
        <v>287</v>
      </c>
      <c r="I214" s="18"/>
      <c r="J214" s="22" t="s">
        <v>288</v>
      </c>
      <c r="K214" s="157">
        <f>+K215+K216+K217+K218</f>
        <v>549077509198</v>
      </c>
      <c r="L214" s="157">
        <f t="shared" ref="L214" si="104">+L215+L216+L217+L218</f>
        <v>0</v>
      </c>
      <c r="M214" s="157">
        <f t="shared" ref="M214" si="105">+M215+M216+M217+M218</f>
        <v>549077509198</v>
      </c>
    </row>
    <row r="215" spans="2:13" ht="15" customHeight="1" x14ac:dyDescent="0.2">
      <c r="B215" s="16" t="s">
        <v>1002</v>
      </c>
      <c r="C215" s="16" t="s">
        <v>1005</v>
      </c>
      <c r="D215" s="46" t="s">
        <v>1051</v>
      </c>
      <c r="E215" s="16" t="s">
        <v>1017</v>
      </c>
      <c r="F215" s="16" t="s">
        <v>1022</v>
      </c>
      <c r="G215" s="16" t="s">
        <v>1025</v>
      </c>
      <c r="H215" s="21" t="s">
        <v>290</v>
      </c>
      <c r="I215" s="18" t="str">
        <f t="shared" ref="I215:I220" si="106">RIGHT(H215,4)</f>
        <v>- 25</v>
      </c>
      <c r="J215" s="22" t="s">
        <v>288</v>
      </c>
      <c r="K215" s="23">
        <v>461902246342</v>
      </c>
      <c r="L215" s="23"/>
      <c r="M215" s="126">
        <f>+Tabla13[[#This Row],[PF INICIAL]]+Tabla13[[#This Row],[AJUSTE 1]]</f>
        <v>461902246342</v>
      </c>
    </row>
    <row r="216" spans="2:13" ht="15" customHeight="1" x14ac:dyDescent="0.2">
      <c r="B216" s="16" t="s">
        <v>1002</v>
      </c>
      <c r="C216" s="16" t="s">
        <v>1005</v>
      </c>
      <c r="D216" s="46" t="s">
        <v>1051</v>
      </c>
      <c r="E216" s="16" t="s">
        <v>1017</v>
      </c>
      <c r="F216" s="16" t="s">
        <v>1022</v>
      </c>
      <c r="G216" s="16" t="s">
        <v>1025</v>
      </c>
      <c r="H216" s="21" t="s">
        <v>291</v>
      </c>
      <c r="I216" s="18" t="str">
        <f t="shared" si="106"/>
        <v>- 26</v>
      </c>
      <c r="J216" s="22" t="s">
        <v>292</v>
      </c>
      <c r="K216" s="23">
        <v>59075029448</v>
      </c>
      <c r="L216" s="23"/>
      <c r="M216" s="126">
        <f>+Tabla13[[#This Row],[PF INICIAL]]+Tabla13[[#This Row],[AJUSTE 1]]</f>
        <v>59075029448</v>
      </c>
    </row>
    <row r="217" spans="2:13" ht="15" customHeight="1" x14ac:dyDescent="0.2">
      <c r="B217" s="16" t="s">
        <v>1002</v>
      </c>
      <c r="C217" s="16" t="s">
        <v>1005</v>
      </c>
      <c r="D217" s="46" t="s">
        <v>1051</v>
      </c>
      <c r="E217" s="16" t="s">
        <v>1017</v>
      </c>
      <c r="F217" s="16" t="s">
        <v>1022</v>
      </c>
      <c r="G217" s="16" t="s">
        <v>1025</v>
      </c>
      <c r="H217" s="21" t="s">
        <v>293</v>
      </c>
      <c r="I217" s="18" t="str">
        <f t="shared" si="106"/>
        <v>- 26</v>
      </c>
      <c r="J217" s="22" t="s">
        <v>294</v>
      </c>
      <c r="K217" s="23">
        <v>26738875746</v>
      </c>
      <c r="L217" s="23"/>
      <c r="M217" s="126">
        <f>+Tabla13[[#This Row],[PF INICIAL]]+Tabla13[[#This Row],[AJUSTE 1]]</f>
        <v>26738875746</v>
      </c>
    </row>
    <row r="218" spans="2:13" ht="15" customHeight="1" x14ac:dyDescent="0.2">
      <c r="B218" s="16" t="s">
        <v>1002</v>
      </c>
      <c r="C218" s="16" t="s">
        <v>1005</v>
      </c>
      <c r="D218" s="46" t="s">
        <v>1051</v>
      </c>
      <c r="E218" s="16" t="s">
        <v>1017</v>
      </c>
      <c r="F218" s="16" t="s">
        <v>1022</v>
      </c>
      <c r="G218" s="16" t="s">
        <v>1025</v>
      </c>
      <c r="H218" s="21" t="s">
        <v>295</v>
      </c>
      <c r="I218" s="18" t="str">
        <f t="shared" si="106"/>
        <v>- 25</v>
      </c>
      <c r="J218" s="22" t="s">
        <v>296</v>
      </c>
      <c r="K218" s="23">
        <v>1361357662</v>
      </c>
      <c r="L218" s="23"/>
      <c r="M218" s="126">
        <f>+Tabla13[[#This Row],[PF INICIAL]]+Tabla13[[#This Row],[AJUSTE 1]]</f>
        <v>1361357662</v>
      </c>
    </row>
    <row r="219" spans="2:13" ht="15" customHeight="1" x14ac:dyDescent="0.2">
      <c r="B219" s="16"/>
      <c r="C219" s="16"/>
      <c r="D219" s="16"/>
      <c r="E219" s="16"/>
      <c r="F219" s="16"/>
      <c r="G219" s="16"/>
      <c r="H219" s="21" t="s">
        <v>297</v>
      </c>
      <c r="I219" s="18"/>
      <c r="J219" s="22" t="s">
        <v>298</v>
      </c>
      <c r="K219" s="157">
        <f>+K220</f>
        <v>4137433336</v>
      </c>
      <c r="L219" s="157">
        <f t="shared" ref="L219:M219" si="107">+L220</f>
        <v>0</v>
      </c>
      <c r="M219" s="157">
        <f t="shared" si="107"/>
        <v>4137433336</v>
      </c>
    </row>
    <row r="220" spans="2:13" ht="15" customHeight="1" x14ac:dyDescent="0.2">
      <c r="B220" s="16" t="s">
        <v>1002</v>
      </c>
      <c r="C220" s="16" t="s">
        <v>1005</v>
      </c>
      <c r="D220" s="46" t="s">
        <v>1051</v>
      </c>
      <c r="E220" s="16" t="s">
        <v>1017</v>
      </c>
      <c r="F220" s="16" t="s">
        <v>1022</v>
      </c>
      <c r="G220" s="16" t="s">
        <v>1025</v>
      </c>
      <c r="H220" s="21" t="s">
        <v>299</v>
      </c>
      <c r="I220" s="18" t="str">
        <f t="shared" si="106"/>
        <v>- 27</v>
      </c>
      <c r="J220" s="22" t="s">
        <v>298</v>
      </c>
      <c r="K220" s="23">
        <v>4137433336</v>
      </c>
      <c r="L220" s="23"/>
      <c r="M220" s="126">
        <f>+Tabla13[[#This Row],[PF INICIAL]]+Tabla13[[#This Row],[AJUSTE 1]]</f>
        <v>4137433336</v>
      </c>
    </row>
    <row r="221" spans="2:13" ht="15" customHeight="1" x14ac:dyDescent="0.2">
      <c r="B221" s="16"/>
      <c r="C221" s="16"/>
      <c r="D221" s="16"/>
      <c r="E221" s="16"/>
      <c r="F221" s="16"/>
      <c r="G221" s="16"/>
      <c r="H221" s="21" t="s">
        <v>300</v>
      </c>
      <c r="I221" s="18"/>
      <c r="J221" s="22" t="s">
        <v>301</v>
      </c>
      <c r="K221" s="157">
        <f>+K222</f>
        <v>40720981000</v>
      </c>
      <c r="L221" s="157">
        <f t="shared" ref="L221:M222" si="108">+L222</f>
        <v>0</v>
      </c>
      <c r="M221" s="157">
        <f t="shared" si="108"/>
        <v>40720981000</v>
      </c>
    </row>
    <row r="222" spans="2:13" ht="30" customHeight="1" x14ac:dyDescent="0.2">
      <c r="B222" s="16"/>
      <c r="C222" s="16"/>
      <c r="D222" s="16"/>
      <c r="E222" s="16"/>
      <c r="F222" s="16"/>
      <c r="G222" s="16"/>
      <c r="H222" s="21" t="s">
        <v>302</v>
      </c>
      <c r="I222" s="18"/>
      <c r="J222" s="22" t="s">
        <v>303</v>
      </c>
      <c r="K222" s="157">
        <f>+K223</f>
        <v>40720981000</v>
      </c>
      <c r="L222" s="157">
        <f t="shared" si="108"/>
        <v>0</v>
      </c>
      <c r="M222" s="157">
        <f t="shared" si="108"/>
        <v>40720981000</v>
      </c>
    </row>
    <row r="223" spans="2:13" ht="30" customHeight="1" x14ac:dyDescent="0.2">
      <c r="B223" s="16" t="s">
        <v>1002</v>
      </c>
      <c r="C223" s="16" t="s">
        <v>1005</v>
      </c>
      <c r="D223" s="46" t="s">
        <v>1051</v>
      </c>
      <c r="E223" s="16" t="s">
        <v>1018</v>
      </c>
      <c r="F223" s="16" t="s">
        <v>1022</v>
      </c>
      <c r="G223" s="16" t="s">
        <v>1025</v>
      </c>
      <c r="H223" s="21" t="s">
        <v>304</v>
      </c>
      <c r="I223" s="18" t="str">
        <f>RIGHT(H223,4)</f>
        <v>- 96</v>
      </c>
      <c r="J223" s="22" t="s">
        <v>303</v>
      </c>
      <c r="K223" s="23">
        <v>40720981000</v>
      </c>
      <c r="L223" s="23"/>
      <c r="M223" s="126">
        <f>+Tabla13[[#This Row],[PF INICIAL]]+Tabla13[[#This Row],[AJUSTE 1]]</f>
        <v>40720981000</v>
      </c>
    </row>
    <row r="224" spans="2:13" s="13" customFormat="1" ht="15.75" customHeight="1" x14ac:dyDescent="0.25">
      <c r="B224" s="24"/>
      <c r="C224" s="24"/>
      <c r="D224" s="24"/>
      <c r="E224" s="24"/>
      <c r="F224" s="24"/>
      <c r="G224" s="24"/>
      <c r="H224" s="17" t="s">
        <v>305</v>
      </c>
      <c r="I224" s="18"/>
      <c r="J224" s="19" t="s">
        <v>195</v>
      </c>
      <c r="K224" s="156">
        <f>+K225</f>
        <v>139749120</v>
      </c>
      <c r="L224" s="156">
        <f t="shared" ref="L224:M226" si="109">+L225</f>
        <v>0</v>
      </c>
      <c r="M224" s="156">
        <f t="shared" si="109"/>
        <v>139749120</v>
      </c>
    </row>
    <row r="225" spans="2:13" ht="30" customHeight="1" x14ac:dyDescent="0.2">
      <c r="B225" s="16"/>
      <c r="C225" s="16"/>
      <c r="D225" s="16"/>
      <c r="E225" s="16"/>
      <c r="F225" s="16"/>
      <c r="G225" s="16"/>
      <c r="H225" s="21" t="s">
        <v>306</v>
      </c>
      <c r="I225" s="18"/>
      <c r="J225" s="22" t="s">
        <v>197</v>
      </c>
      <c r="K225" s="157">
        <f>+K226</f>
        <v>139749120</v>
      </c>
      <c r="L225" s="157">
        <f t="shared" si="109"/>
        <v>0</v>
      </c>
      <c r="M225" s="157">
        <f t="shared" si="109"/>
        <v>139749120</v>
      </c>
    </row>
    <row r="226" spans="2:13" ht="30" customHeight="1" x14ac:dyDescent="0.2">
      <c r="B226" s="16"/>
      <c r="C226" s="16"/>
      <c r="D226" s="16"/>
      <c r="E226" s="16"/>
      <c r="F226" s="16"/>
      <c r="G226" s="16"/>
      <c r="H226" s="21" t="s">
        <v>307</v>
      </c>
      <c r="I226" s="18"/>
      <c r="J226" s="22" t="s">
        <v>199</v>
      </c>
      <c r="K226" s="157">
        <f>+K227</f>
        <v>139749120</v>
      </c>
      <c r="L226" s="157">
        <f t="shared" si="109"/>
        <v>0</v>
      </c>
      <c r="M226" s="157">
        <f t="shared" si="109"/>
        <v>139749120</v>
      </c>
    </row>
    <row r="227" spans="2:13" ht="15" customHeight="1" x14ac:dyDescent="0.2">
      <c r="B227" s="16"/>
      <c r="C227" s="16"/>
      <c r="D227" s="16"/>
      <c r="E227" s="16"/>
      <c r="F227" s="16"/>
      <c r="G227" s="16"/>
      <c r="H227" s="21" t="s">
        <v>308</v>
      </c>
      <c r="I227" s="18"/>
      <c r="J227" s="22" t="s">
        <v>201</v>
      </c>
      <c r="K227" s="157">
        <f>+K228+K230</f>
        <v>139749120</v>
      </c>
      <c r="L227" s="157">
        <f t="shared" ref="L227" si="110">+L228+L230</f>
        <v>0</v>
      </c>
      <c r="M227" s="157">
        <f t="shared" ref="M227" si="111">+M228+M230</f>
        <v>139749120</v>
      </c>
    </row>
    <row r="228" spans="2:13" ht="30" customHeight="1" x14ac:dyDescent="0.2">
      <c r="B228" s="16"/>
      <c r="C228" s="16"/>
      <c r="D228" s="16"/>
      <c r="E228" s="16"/>
      <c r="F228" s="16"/>
      <c r="G228" s="16"/>
      <c r="H228" s="21" t="s">
        <v>309</v>
      </c>
      <c r="I228" s="18"/>
      <c r="J228" s="22" t="s">
        <v>203</v>
      </c>
      <c r="K228" s="157">
        <f>+K229</f>
        <v>0</v>
      </c>
      <c r="L228" s="157">
        <f t="shared" ref="L228:M228" si="112">+L229</f>
        <v>0</v>
      </c>
      <c r="M228" s="157">
        <f t="shared" si="112"/>
        <v>0</v>
      </c>
    </row>
    <row r="229" spans="2:13" ht="30" customHeight="1" x14ac:dyDescent="0.2">
      <c r="B229" s="16" t="s">
        <v>1002</v>
      </c>
      <c r="C229" s="16" t="s">
        <v>1005</v>
      </c>
      <c r="D229" s="46" t="s">
        <v>1051</v>
      </c>
      <c r="E229" s="16" t="s">
        <v>1015</v>
      </c>
      <c r="F229" s="16" t="s">
        <v>1022</v>
      </c>
      <c r="G229" s="16" t="s">
        <v>1025</v>
      </c>
      <c r="H229" s="21" t="s">
        <v>310</v>
      </c>
      <c r="I229" s="18" t="str">
        <f>RIGHT(H229,4)</f>
        <v xml:space="preserve"> 153</v>
      </c>
      <c r="J229" s="22" t="s">
        <v>203</v>
      </c>
      <c r="K229" s="23">
        <v>0</v>
      </c>
      <c r="L229" s="23"/>
      <c r="M229" s="126">
        <f>+Tabla13[[#This Row],[PF INICIAL]]+Tabla13[[#This Row],[AJUSTE 1]]</f>
        <v>0</v>
      </c>
    </row>
    <row r="230" spans="2:13" ht="30" customHeight="1" x14ac:dyDescent="0.2">
      <c r="B230" s="16"/>
      <c r="C230" s="16"/>
      <c r="D230" s="16"/>
      <c r="E230" s="16"/>
      <c r="F230" s="16"/>
      <c r="G230" s="16"/>
      <c r="H230" s="21" t="s">
        <v>311</v>
      </c>
      <c r="I230" s="18"/>
      <c r="J230" s="22" t="s">
        <v>207</v>
      </c>
      <c r="K230" s="157">
        <f>+K231</f>
        <v>139749120</v>
      </c>
      <c r="L230" s="157">
        <f t="shared" ref="L230:M230" si="113">+L231</f>
        <v>0</v>
      </c>
      <c r="M230" s="157">
        <f t="shared" si="113"/>
        <v>139749120</v>
      </c>
    </row>
    <row r="231" spans="2:13" ht="30" customHeight="1" x14ac:dyDescent="0.2">
      <c r="B231" s="16" t="s">
        <v>1002</v>
      </c>
      <c r="C231" s="16" t="s">
        <v>1005</v>
      </c>
      <c r="D231" s="46" t="s">
        <v>1051</v>
      </c>
      <c r="E231" s="16" t="s">
        <v>1015</v>
      </c>
      <c r="F231" s="16" t="s">
        <v>1022</v>
      </c>
      <c r="G231" s="16" t="s">
        <v>1025</v>
      </c>
      <c r="H231" s="21" t="s">
        <v>312</v>
      </c>
      <c r="I231" s="18" t="str">
        <f>RIGHT(H231,4)</f>
        <v xml:space="preserve"> 153</v>
      </c>
      <c r="J231" s="22" t="s">
        <v>207</v>
      </c>
      <c r="K231" s="23">
        <v>139749120</v>
      </c>
      <c r="L231" s="23"/>
      <c r="M231" s="126">
        <f>+Tabla13[[#This Row],[PF INICIAL]]+Tabla13[[#This Row],[AJUSTE 1]]</f>
        <v>139749120</v>
      </c>
    </row>
    <row r="232" spans="2:13" s="13" customFormat="1" ht="15.75" customHeight="1" x14ac:dyDescent="0.25">
      <c r="B232" s="24"/>
      <c r="C232" s="24"/>
      <c r="D232" s="24"/>
      <c r="E232" s="24"/>
      <c r="F232" s="24"/>
      <c r="G232" s="24"/>
      <c r="H232" s="17" t="s">
        <v>313</v>
      </c>
      <c r="I232" s="18"/>
      <c r="J232" s="19" t="s">
        <v>225</v>
      </c>
      <c r="K232" s="156">
        <f>+K233+K240+K249</f>
        <v>600000000</v>
      </c>
      <c r="L232" s="156">
        <f t="shared" ref="L232" si="114">+L233+L240+L249</f>
        <v>0</v>
      </c>
      <c r="M232" s="156">
        <f t="shared" ref="M232" si="115">+M233+M240+M249</f>
        <v>600000000</v>
      </c>
    </row>
    <row r="233" spans="2:13" s="13" customFormat="1" ht="15.75" customHeight="1" x14ac:dyDescent="0.25">
      <c r="B233" s="24"/>
      <c r="C233" s="24"/>
      <c r="D233" s="24"/>
      <c r="E233" s="24"/>
      <c r="F233" s="24"/>
      <c r="G233" s="24"/>
      <c r="H233" s="17" t="s">
        <v>314</v>
      </c>
      <c r="I233" s="18"/>
      <c r="J233" s="19" t="s">
        <v>239</v>
      </c>
      <c r="K233" s="156">
        <f>+K234</f>
        <v>600000000</v>
      </c>
      <c r="L233" s="156">
        <f t="shared" ref="L233:M233" si="116">+L234</f>
        <v>0</v>
      </c>
      <c r="M233" s="156">
        <f t="shared" si="116"/>
        <v>600000000</v>
      </c>
    </row>
    <row r="234" spans="2:13" s="13" customFormat="1" ht="15.75" customHeight="1" x14ac:dyDescent="0.25">
      <c r="B234" s="24"/>
      <c r="C234" s="24"/>
      <c r="D234" s="24"/>
      <c r="E234" s="24"/>
      <c r="F234" s="24"/>
      <c r="G234" s="24"/>
      <c r="H234" s="17" t="s">
        <v>315</v>
      </c>
      <c r="I234" s="18"/>
      <c r="J234" s="19" t="s">
        <v>241</v>
      </c>
      <c r="K234" s="156">
        <f>SUM(K235:K239)</f>
        <v>600000000</v>
      </c>
      <c r="L234" s="156">
        <f t="shared" ref="L234" si="117">SUM(L235:L239)</f>
        <v>0</v>
      </c>
      <c r="M234" s="156">
        <f t="shared" ref="M234" si="118">SUM(M235:M239)</f>
        <v>600000000</v>
      </c>
    </row>
    <row r="235" spans="2:13" ht="15" customHeight="1" x14ac:dyDescent="0.2">
      <c r="B235" s="16" t="s">
        <v>1002</v>
      </c>
      <c r="C235" s="16" t="s">
        <v>1005</v>
      </c>
      <c r="D235" s="46" t="s">
        <v>1051</v>
      </c>
      <c r="E235" s="16" t="s">
        <v>1015</v>
      </c>
      <c r="F235" s="16" t="s">
        <v>1023</v>
      </c>
      <c r="G235" s="16" t="s">
        <v>1028</v>
      </c>
      <c r="H235" s="21" t="s">
        <v>316</v>
      </c>
      <c r="I235" s="18" t="str">
        <f>RIGHT(H235,4)</f>
        <v>153F</v>
      </c>
      <c r="J235" s="22" t="s">
        <v>241</v>
      </c>
      <c r="K235" s="23">
        <v>0</v>
      </c>
      <c r="L235" s="23"/>
      <c r="M235" s="126">
        <f>+Tabla13[[#This Row],[PF INICIAL]]+Tabla13[[#This Row],[AJUSTE 1]]</f>
        <v>0</v>
      </c>
    </row>
    <row r="236" spans="2:13" ht="15" customHeight="1" x14ac:dyDescent="0.2">
      <c r="B236" s="16" t="s">
        <v>1002</v>
      </c>
      <c r="C236" s="16" t="s">
        <v>1005</v>
      </c>
      <c r="D236" s="46" t="s">
        <v>1051</v>
      </c>
      <c r="E236" s="16" t="s">
        <v>1017</v>
      </c>
      <c r="F236" s="16" t="s">
        <v>1023</v>
      </c>
      <c r="G236" s="16" t="s">
        <v>1028</v>
      </c>
      <c r="H236" s="21" t="s">
        <v>317</v>
      </c>
      <c r="I236" s="18" t="str">
        <f>RIGHT(H236,4)</f>
        <v xml:space="preserve"> 25F</v>
      </c>
      <c r="J236" s="22" t="s">
        <v>241</v>
      </c>
      <c r="K236" s="23">
        <v>600000000</v>
      </c>
      <c r="L236" s="23"/>
      <c r="M236" s="126">
        <f>+Tabla13[[#This Row],[PF INICIAL]]+Tabla13[[#This Row],[AJUSTE 1]]</f>
        <v>600000000</v>
      </c>
    </row>
    <row r="237" spans="2:13" ht="15" customHeight="1" x14ac:dyDescent="0.2">
      <c r="B237" s="16" t="s">
        <v>1002</v>
      </c>
      <c r="C237" s="16" t="s">
        <v>1005</v>
      </c>
      <c r="D237" s="46" t="s">
        <v>1051</v>
      </c>
      <c r="E237" s="16" t="s">
        <v>1017</v>
      </c>
      <c r="F237" s="16" t="s">
        <v>1023</v>
      </c>
      <c r="G237" s="16" t="s">
        <v>1028</v>
      </c>
      <c r="H237" s="21" t="s">
        <v>318</v>
      </c>
      <c r="I237" s="18" t="str">
        <f>RIGHT(H237,4)</f>
        <v xml:space="preserve"> 27F</v>
      </c>
      <c r="J237" s="22" t="s">
        <v>241</v>
      </c>
      <c r="K237" s="23">
        <v>0</v>
      </c>
      <c r="L237" s="23"/>
      <c r="M237" s="126">
        <f>+Tabla13[[#This Row],[PF INICIAL]]+Tabla13[[#This Row],[AJUSTE 1]]</f>
        <v>0</v>
      </c>
    </row>
    <row r="238" spans="2:13" ht="15" customHeight="1" x14ac:dyDescent="0.2">
      <c r="B238" s="16" t="s">
        <v>1002</v>
      </c>
      <c r="C238" s="16" t="s">
        <v>1005</v>
      </c>
      <c r="D238" s="46" t="s">
        <v>1051</v>
      </c>
      <c r="E238" s="16" t="s">
        <v>1015</v>
      </c>
      <c r="F238" s="16" t="s">
        <v>1023</v>
      </c>
      <c r="G238" s="16" t="s">
        <v>1028</v>
      </c>
      <c r="H238" s="21" t="s">
        <v>319</v>
      </c>
      <c r="I238" s="18" t="str">
        <f>RIGHT(H238,4)</f>
        <v xml:space="preserve"> 96F</v>
      </c>
      <c r="J238" s="22" t="s">
        <v>241</v>
      </c>
      <c r="K238" s="23">
        <v>0</v>
      </c>
      <c r="L238" s="23"/>
      <c r="M238" s="126">
        <f>+Tabla13[[#This Row],[PF INICIAL]]+Tabla13[[#This Row],[AJUSTE 1]]</f>
        <v>0</v>
      </c>
    </row>
    <row r="239" spans="2:13" ht="15" customHeight="1" x14ac:dyDescent="0.2">
      <c r="B239" s="16" t="s">
        <v>1002</v>
      </c>
      <c r="C239" s="16" t="s">
        <v>1005</v>
      </c>
      <c r="D239" s="46" t="s">
        <v>1051</v>
      </c>
      <c r="E239" s="16" t="s">
        <v>1015</v>
      </c>
      <c r="F239" s="16" t="s">
        <v>1023</v>
      </c>
      <c r="G239" s="16" t="s">
        <v>1028</v>
      </c>
      <c r="H239" s="21" t="s">
        <v>320</v>
      </c>
      <c r="I239" s="18" t="str">
        <f>RIGHT(H239,4)</f>
        <v xml:space="preserve"> 98F</v>
      </c>
      <c r="J239" s="22" t="s">
        <v>241</v>
      </c>
      <c r="K239" s="23">
        <v>0</v>
      </c>
      <c r="L239" s="23"/>
      <c r="M239" s="126">
        <f>+Tabla13[[#This Row],[PF INICIAL]]+Tabla13[[#This Row],[AJUSTE 1]]</f>
        <v>0</v>
      </c>
    </row>
    <row r="240" spans="2:13" s="13" customFormat="1" ht="15.75" customHeight="1" x14ac:dyDescent="0.25">
      <c r="B240" s="24"/>
      <c r="C240" s="24"/>
      <c r="D240" s="24"/>
      <c r="E240" s="24"/>
      <c r="F240" s="24"/>
      <c r="G240" s="24"/>
      <c r="H240" s="17" t="s">
        <v>321</v>
      </c>
      <c r="I240" s="18"/>
      <c r="J240" s="19" t="s">
        <v>267</v>
      </c>
      <c r="K240" s="156">
        <f>+K241</f>
        <v>0</v>
      </c>
      <c r="L240" s="156">
        <f t="shared" ref="L240:M240" si="119">+L241</f>
        <v>0</v>
      </c>
      <c r="M240" s="156">
        <f t="shared" si="119"/>
        <v>0</v>
      </c>
    </row>
    <row r="241" spans="2:13" s="13" customFormat="1" ht="15.75" customHeight="1" x14ac:dyDescent="0.25">
      <c r="B241" s="24"/>
      <c r="C241" s="24"/>
      <c r="D241" s="24"/>
      <c r="E241" s="24"/>
      <c r="F241" s="24"/>
      <c r="G241" s="24"/>
      <c r="H241" s="17" t="s">
        <v>322</v>
      </c>
      <c r="I241" s="18"/>
      <c r="J241" s="19" t="s">
        <v>271</v>
      </c>
      <c r="K241" s="156">
        <f>SUM(K242:K248)</f>
        <v>0</v>
      </c>
      <c r="L241" s="156">
        <f t="shared" ref="L241" si="120">SUM(L242:L248)</f>
        <v>0</v>
      </c>
      <c r="M241" s="156">
        <f t="shared" ref="M241" si="121">SUM(M242:M248)</f>
        <v>0</v>
      </c>
    </row>
    <row r="242" spans="2:13" ht="15" customHeight="1" x14ac:dyDescent="0.2">
      <c r="B242" s="16" t="s">
        <v>1002</v>
      </c>
      <c r="C242" s="16" t="s">
        <v>1005</v>
      </c>
      <c r="D242" s="46" t="s">
        <v>1051</v>
      </c>
      <c r="E242" s="16" t="s">
        <v>1018</v>
      </c>
      <c r="F242" s="16" t="s">
        <v>1023</v>
      </c>
      <c r="G242" s="16" t="s">
        <v>1030</v>
      </c>
      <c r="H242" s="21" t="s">
        <v>722</v>
      </c>
      <c r="I242" s="18" t="str">
        <f t="shared" ref="I242:I248" si="122">RIGHT(H242,4)</f>
        <v>0ERB</v>
      </c>
      <c r="J242" s="22" t="s">
        <v>271</v>
      </c>
      <c r="K242" s="23"/>
      <c r="L242" s="23"/>
      <c r="M242" s="126">
        <f>+Tabla13[[#This Row],[PF INICIAL]]+Tabla13[[#This Row],[AJUSTE 1]]</f>
        <v>0</v>
      </c>
    </row>
    <row r="243" spans="2:13" ht="15" customHeight="1" x14ac:dyDescent="0.2">
      <c r="B243" s="16" t="s">
        <v>1002</v>
      </c>
      <c r="C243" s="16" t="s">
        <v>1005</v>
      </c>
      <c r="D243" s="46" t="s">
        <v>1051</v>
      </c>
      <c r="E243" s="16" t="s">
        <v>1015</v>
      </c>
      <c r="F243" s="16" t="s">
        <v>1023</v>
      </c>
      <c r="G243" s="16" t="s">
        <v>1030</v>
      </c>
      <c r="H243" s="21" t="s">
        <v>723</v>
      </c>
      <c r="I243" s="18" t="str">
        <f t="shared" si="122"/>
        <v>153R</v>
      </c>
      <c r="J243" s="22" t="s">
        <v>271</v>
      </c>
      <c r="K243" s="23"/>
      <c r="L243" s="23"/>
      <c r="M243" s="126">
        <f>+Tabla13[[#This Row],[PF INICIAL]]+Tabla13[[#This Row],[AJUSTE 1]]</f>
        <v>0</v>
      </c>
    </row>
    <row r="244" spans="2:13" ht="15" customHeight="1" x14ac:dyDescent="0.2">
      <c r="B244" s="16" t="s">
        <v>1002</v>
      </c>
      <c r="C244" s="16" t="s">
        <v>1005</v>
      </c>
      <c r="D244" s="46" t="s">
        <v>1051</v>
      </c>
      <c r="E244" s="16" t="s">
        <v>1017</v>
      </c>
      <c r="F244" s="16" t="s">
        <v>1023</v>
      </c>
      <c r="G244" s="16" t="s">
        <v>1030</v>
      </c>
      <c r="H244" s="21" t="s">
        <v>724</v>
      </c>
      <c r="I244" s="18" t="str">
        <f t="shared" si="122"/>
        <v>25FR</v>
      </c>
      <c r="J244" s="22" t="s">
        <v>271</v>
      </c>
      <c r="K244" s="23"/>
      <c r="L244" s="23"/>
      <c r="M244" s="126">
        <f>+Tabla13[[#This Row],[PF INICIAL]]+Tabla13[[#This Row],[AJUSTE 1]]</f>
        <v>0</v>
      </c>
    </row>
    <row r="245" spans="2:13" ht="15" customHeight="1" x14ac:dyDescent="0.2">
      <c r="B245" s="16" t="s">
        <v>1002</v>
      </c>
      <c r="C245" s="16" t="s">
        <v>1005</v>
      </c>
      <c r="D245" s="46" t="s">
        <v>1051</v>
      </c>
      <c r="E245" s="16" t="s">
        <v>1017</v>
      </c>
      <c r="F245" s="16" t="s">
        <v>1023</v>
      </c>
      <c r="G245" s="16" t="s">
        <v>1030</v>
      </c>
      <c r="H245" s="21" t="s">
        <v>725</v>
      </c>
      <c r="I245" s="18" t="str">
        <f t="shared" si="122"/>
        <v>25RB</v>
      </c>
      <c r="J245" s="22" t="s">
        <v>271</v>
      </c>
      <c r="K245" s="23"/>
      <c r="L245" s="23"/>
      <c r="M245" s="126">
        <f>+Tabla13[[#This Row],[PF INICIAL]]+Tabla13[[#This Row],[AJUSTE 1]]</f>
        <v>0</v>
      </c>
    </row>
    <row r="246" spans="2:13" ht="15" customHeight="1" x14ac:dyDescent="0.2">
      <c r="B246" s="16" t="s">
        <v>1002</v>
      </c>
      <c r="C246" s="16" t="s">
        <v>1005</v>
      </c>
      <c r="D246" s="46" t="s">
        <v>1051</v>
      </c>
      <c r="E246" s="16" t="s">
        <v>1017</v>
      </c>
      <c r="F246" s="16" t="s">
        <v>1023</v>
      </c>
      <c r="G246" s="16" t="s">
        <v>1030</v>
      </c>
      <c r="H246" s="21" t="s">
        <v>726</v>
      </c>
      <c r="I246" s="18" t="str">
        <f t="shared" si="122"/>
        <v>27RB</v>
      </c>
      <c r="J246" s="22" t="s">
        <v>271</v>
      </c>
      <c r="K246" s="23"/>
      <c r="L246" s="23"/>
      <c r="M246" s="126">
        <f>+Tabla13[[#This Row],[PF INICIAL]]+Tabla13[[#This Row],[AJUSTE 1]]</f>
        <v>0</v>
      </c>
    </row>
    <row r="247" spans="2:13" ht="15" customHeight="1" x14ac:dyDescent="0.2">
      <c r="B247" s="16" t="s">
        <v>1002</v>
      </c>
      <c r="C247" s="16" t="s">
        <v>1005</v>
      </c>
      <c r="D247" s="46" t="s">
        <v>1051</v>
      </c>
      <c r="E247" s="16" t="s">
        <v>1015</v>
      </c>
      <c r="F247" s="16" t="s">
        <v>1023</v>
      </c>
      <c r="G247" s="16" t="s">
        <v>1030</v>
      </c>
      <c r="H247" s="21" t="s">
        <v>727</v>
      </c>
      <c r="I247" s="18" t="str">
        <f t="shared" si="122"/>
        <v>96H0</v>
      </c>
      <c r="J247" s="22" t="s">
        <v>271</v>
      </c>
      <c r="K247" s="23"/>
      <c r="L247" s="23"/>
      <c r="M247" s="126">
        <f>+Tabla13[[#This Row],[PF INICIAL]]+Tabla13[[#This Row],[AJUSTE 1]]</f>
        <v>0</v>
      </c>
    </row>
    <row r="248" spans="2:13" ht="15" customHeight="1" x14ac:dyDescent="0.2">
      <c r="B248" s="16" t="s">
        <v>1002</v>
      </c>
      <c r="C248" s="16" t="s">
        <v>1005</v>
      </c>
      <c r="D248" s="46" t="s">
        <v>1051</v>
      </c>
      <c r="E248" s="16" t="s">
        <v>1015</v>
      </c>
      <c r="F248" s="16" t="s">
        <v>1023</v>
      </c>
      <c r="G248" s="16" t="s">
        <v>1030</v>
      </c>
      <c r="H248" s="21" t="s">
        <v>728</v>
      </c>
      <c r="I248" s="18" t="str">
        <f t="shared" si="122"/>
        <v>96RB</v>
      </c>
      <c r="J248" s="22" t="s">
        <v>271</v>
      </c>
      <c r="K248" s="23"/>
      <c r="L248" s="23"/>
      <c r="M248" s="126">
        <f>+Tabla13[[#This Row],[PF INICIAL]]+Tabla13[[#This Row],[AJUSTE 1]]</f>
        <v>0</v>
      </c>
    </row>
    <row r="249" spans="2:13" s="13" customFormat="1" ht="15.75" customHeight="1" x14ac:dyDescent="0.25">
      <c r="B249" s="24"/>
      <c r="C249" s="24"/>
      <c r="D249" s="24"/>
      <c r="E249" s="24"/>
      <c r="F249" s="24"/>
      <c r="G249" s="24"/>
      <c r="H249" s="17" t="s">
        <v>323</v>
      </c>
      <c r="I249" s="18"/>
      <c r="J249" s="19" t="s">
        <v>273</v>
      </c>
      <c r="K249" s="156">
        <f>+K250</f>
        <v>0</v>
      </c>
      <c r="L249" s="156">
        <f t="shared" ref="L249:M250" si="123">+L250</f>
        <v>0</v>
      </c>
      <c r="M249" s="156">
        <f t="shared" si="123"/>
        <v>0</v>
      </c>
    </row>
    <row r="250" spans="2:13" s="13" customFormat="1" ht="15.75" customHeight="1" x14ac:dyDescent="0.25">
      <c r="B250" s="24"/>
      <c r="C250" s="24"/>
      <c r="D250" s="24"/>
      <c r="E250" s="24"/>
      <c r="F250" s="24"/>
      <c r="G250" s="24"/>
      <c r="H250" s="17" t="s">
        <v>324</v>
      </c>
      <c r="I250" s="18"/>
      <c r="J250" s="19" t="s">
        <v>275</v>
      </c>
      <c r="K250" s="156">
        <f>+K251</f>
        <v>0</v>
      </c>
      <c r="L250" s="156">
        <f t="shared" si="123"/>
        <v>0</v>
      </c>
      <c r="M250" s="156">
        <f t="shared" si="123"/>
        <v>0</v>
      </c>
    </row>
    <row r="251" spans="2:13" ht="15" customHeight="1" x14ac:dyDescent="0.2">
      <c r="B251" s="16" t="s">
        <v>1002</v>
      </c>
      <c r="C251" s="16" t="s">
        <v>1005</v>
      </c>
      <c r="D251" s="46" t="s">
        <v>1051</v>
      </c>
      <c r="E251" s="16" t="s">
        <v>1017</v>
      </c>
      <c r="F251" s="16" t="s">
        <v>1023</v>
      </c>
      <c r="G251" s="16" t="s">
        <v>1031</v>
      </c>
      <c r="H251" s="21" t="s">
        <v>325</v>
      </c>
      <c r="I251" s="18" t="str">
        <f>RIGHT(H251,4)</f>
        <v>- 25</v>
      </c>
      <c r="J251" s="22" t="s">
        <v>275</v>
      </c>
      <c r="K251" s="23">
        <v>0</v>
      </c>
      <c r="L251" s="23"/>
      <c r="M251" s="126">
        <f>+Tabla13[[#This Row],[PF INICIAL]]+Tabla13[[#This Row],[AJUSTE 1]]</f>
        <v>0</v>
      </c>
    </row>
    <row r="252" spans="2:13" ht="15.75" customHeight="1" x14ac:dyDescent="0.25">
      <c r="B252" s="16"/>
      <c r="C252" s="16"/>
      <c r="D252" s="16"/>
      <c r="E252" s="16"/>
      <c r="F252" s="16"/>
      <c r="G252" s="16"/>
      <c r="H252" s="25" t="s">
        <v>780</v>
      </c>
      <c r="I252" s="186"/>
      <c r="J252" s="25"/>
      <c r="K252" s="153">
        <f>+K208</f>
        <v>594675672654</v>
      </c>
      <c r="L252" s="153">
        <f t="shared" ref="L252" si="124">+L208</f>
        <v>0</v>
      </c>
      <c r="M252" s="153">
        <f t="shared" ref="M252" si="125">+M208</f>
        <v>594675672654</v>
      </c>
    </row>
    <row r="253" spans="2:13" ht="15" customHeight="1" x14ac:dyDescent="0.2">
      <c r="B253" s="16"/>
      <c r="C253" s="16"/>
      <c r="D253" s="16"/>
      <c r="E253" s="16"/>
      <c r="F253" s="16"/>
      <c r="G253" s="16"/>
      <c r="H253" s="21"/>
      <c r="I253" s="18"/>
      <c r="J253" s="22"/>
      <c r="K253" s="157"/>
      <c r="L253" s="157"/>
      <c r="M253" s="157"/>
    </row>
    <row r="254" spans="2:13" ht="15.75" customHeight="1" x14ac:dyDescent="0.2">
      <c r="B254" s="16"/>
      <c r="C254" s="16"/>
      <c r="D254" s="16"/>
      <c r="E254" s="16"/>
      <c r="F254" s="16"/>
      <c r="G254" s="16"/>
      <c r="H254" s="28" t="s">
        <v>781</v>
      </c>
      <c r="I254" s="29"/>
      <c r="J254" s="30"/>
      <c r="K254" s="158"/>
      <c r="L254" s="158"/>
      <c r="M254" s="158"/>
    </row>
    <row r="255" spans="2:13" ht="16.5" customHeight="1" x14ac:dyDescent="0.2">
      <c r="B255" s="16"/>
      <c r="C255" s="16"/>
      <c r="D255" s="16"/>
      <c r="E255" s="16"/>
      <c r="F255" s="16"/>
      <c r="G255" s="16"/>
      <c r="H255" s="31" t="s">
        <v>778</v>
      </c>
      <c r="I255" s="29"/>
      <c r="J255" s="32" t="s">
        <v>779</v>
      </c>
      <c r="K255" s="155"/>
      <c r="L255" s="155"/>
      <c r="M255" s="155"/>
    </row>
    <row r="256" spans="2:13" ht="15.75" customHeight="1" x14ac:dyDescent="0.2">
      <c r="B256" s="16"/>
      <c r="C256" s="16"/>
      <c r="D256" s="16"/>
      <c r="E256" s="16"/>
      <c r="F256" s="16"/>
      <c r="G256" s="16"/>
      <c r="H256" s="35" t="s">
        <v>782</v>
      </c>
      <c r="I256" s="29"/>
      <c r="J256" s="36" t="s">
        <v>783</v>
      </c>
      <c r="K256" s="153">
        <f>+K257+K364+K393+K454</f>
        <v>136834714317</v>
      </c>
      <c r="L256" s="153">
        <f t="shared" ref="L256" si="126">+L257+L364+L393+L454</f>
        <v>0</v>
      </c>
      <c r="M256" s="153">
        <f t="shared" ref="M256" si="127">+M257+M364+M393+M454</f>
        <v>136834714317</v>
      </c>
    </row>
    <row r="257" spans="2:13" ht="15.75" customHeight="1" x14ac:dyDescent="0.2">
      <c r="B257" s="16"/>
      <c r="C257" s="16"/>
      <c r="D257" s="16"/>
      <c r="E257" s="16"/>
      <c r="F257" s="16"/>
      <c r="G257" s="16"/>
      <c r="H257" s="35" t="s">
        <v>784</v>
      </c>
      <c r="I257" s="29"/>
      <c r="J257" s="36" t="s">
        <v>785</v>
      </c>
      <c r="K257" s="153">
        <f>+K258+K324</f>
        <v>33824846223</v>
      </c>
      <c r="L257" s="153">
        <f t="shared" ref="L257" si="128">+L258+L324</f>
        <v>0</v>
      </c>
      <c r="M257" s="153">
        <f t="shared" ref="M257" si="129">+M258+M324</f>
        <v>33824846223</v>
      </c>
    </row>
    <row r="258" spans="2:13" ht="15.75" customHeight="1" x14ac:dyDescent="0.25">
      <c r="B258" s="16"/>
      <c r="C258" s="16"/>
      <c r="D258" s="16"/>
      <c r="E258" s="16"/>
      <c r="F258" s="16"/>
      <c r="G258" s="16"/>
      <c r="H258" s="37" t="s">
        <v>786</v>
      </c>
      <c r="I258" s="38"/>
      <c r="J258" s="39" t="s">
        <v>787</v>
      </c>
      <c r="K258" s="156">
        <f>+K259</f>
        <v>12212970577</v>
      </c>
      <c r="L258" s="156">
        <f t="shared" ref="L258:M258" si="130">+L259</f>
        <v>0</v>
      </c>
      <c r="M258" s="156">
        <f t="shared" si="130"/>
        <v>12212970577</v>
      </c>
    </row>
    <row r="259" spans="2:13" s="13" customFormat="1" ht="15.75" customHeight="1" x14ac:dyDescent="0.25">
      <c r="B259" s="24"/>
      <c r="C259" s="24"/>
      <c r="D259" s="24"/>
      <c r="E259" s="24"/>
      <c r="F259" s="24"/>
      <c r="G259" s="24"/>
      <c r="H259" s="17" t="s">
        <v>326</v>
      </c>
      <c r="I259" s="18"/>
      <c r="J259" s="19" t="s">
        <v>1</v>
      </c>
      <c r="K259" s="156">
        <f>+K260+K311</f>
        <v>12212970577</v>
      </c>
      <c r="L259" s="156">
        <f t="shared" ref="L259" si="131">+L260+L311</f>
        <v>0</v>
      </c>
      <c r="M259" s="156">
        <f t="shared" ref="M259" si="132">+M260+M311</f>
        <v>12212970577</v>
      </c>
    </row>
    <row r="260" spans="2:13" s="13" customFormat="1" ht="15.75" customHeight="1" x14ac:dyDescent="0.25">
      <c r="B260" s="24"/>
      <c r="C260" s="24"/>
      <c r="D260" s="24"/>
      <c r="E260" s="24"/>
      <c r="F260" s="24"/>
      <c r="G260" s="24"/>
      <c r="H260" s="17" t="s">
        <v>327</v>
      </c>
      <c r="I260" s="18"/>
      <c r="J260" s="19" t="s">
        <v>3</v>
      </c>
      <c r="K260" s="156">
        <f>+K261+K283</f>
        <v>12212970577</v>
      </c>
      <c r="L260" s="156">
        <f t="shared" ref="L260" si="133">+L261+L283</f>
        <v>0</v>
      </c>
      <c r="M260" s="156">
        <f t="shared" ref="M260" si="134">+M261+M283</f>
        <v>12212970577</v>
      </c>
    </row>
    <row r="261" spans="2:13" s="13" customFormat="1" ht="15.75" customHeight="1" x14ac:dyDescent="0.25">
      <c r="B261" s="24"/>
      <c r="C261" s="24"/>
      <c r="D261" s="24"/>
      <c r="E261" s="24"/>
      <c r="F261" s="24"/>
      <c r="G261" s="24"/>
      <c r="H261" s="17" t="s">
        <v>328</v>
      </c>
      <c r="I261" s="18"/>
      <c r="J261" s="19" t="s">
        <v>5</v>
      </c>
      <c r="K261" s="156">
        <f>+K262+K265</f>
        <v>5775542866</v>
      </c>
      <c r="L261" s="156">
        <f t="shared" ref="L261" si="135">+L262+L265</f>
        <v>0</v>
      </c>
      <c r="M261" s="156">
        <f t="shared" ref="M261" si="136">+M262+M265</f>
        <v>5775542866</v>
      </c>
    </row>
    <row r="262" spans="2:13" s="13" customFormat="1" ht="15.75" customHeight="1" x14ac:dyDescent="0.25">
      <c r="B262" s="24"/>
      <c r="C262" s="24"/>
      <c r="D262" s="24"/>
      <c r="E262" s="24"/>
      <c r="F262" s="24"/>
      <c r="G262" s="24"/>
      <c r="H262" s="17" t="s">
        <v>329</v>
      </c>
      <c r="I262" s="18"/>
      <c r="J262" s="19" t="s">
        <v>7</v>
      </c>
      <c r="K262" s="156">
        <f>+K263</f>
        <v>203564312</v>
      </c>
      <c r="L262" s="156">
        <f t="shared" ref="L262:M263" si="137">+L263</f>
        <v>0</v>
      </c>
      <c r="M262" s="156">
        <f t="shared" si="137"/>
        <v>203564312</v>
      </c>
    </row>
    <row r="263" spans="2:13" ht="15" customHeight="1" x14ac:dyDescent="0.2">
      <c r="B263" s="16"/>
      <c r="C263" s="16"/>
      <c r="D263" s="16"/>
      <c r="E263" s="16"/>
      <c r="F263" s="16"/>
      <c r="G263" s="16"/>
      <c r="H263" s="21" t="s">
        <v>330</v>
      </c>
      <c r="I263" s="18"/>
      <c r="J263" s="22" t="s">
        <v>331</v>
      </c>
      <c r="K263" s="157">
        <f>+K264</f>
        <v>203564312</v>
      </c>
      <c r="L263" s="157">
        <f t="shared" si="137"/>
        <v>0</v>
      </c>
      <c r="M263" s="157">
        <f t="shared" si="137"/>
        <v>203564312</v>
      </c>
    </row>
    <row r="264" spans="2:13" ht="15" customHeight="1" x14ac:dyDescent="0.2">
      <c r="B264" s="16" t="s">
        <v>1002</v>
      </c>
      <c r="C264" s="16" t="s">
        <v>1006</v>
      </c>
      <c r="D264" s="16" t="s">
        <v>1046</v>
      </c>
      <c r="E264" s="16" t="s">
        <v>1021</v>
      </c>
      <c r="F264" s="16" t="s">
        <v>1022</v>
      </c>
      <c r="G264" s="16" t="s">
        <v>1024</v>
      </c>
      <c r="H264" s="21" t="s">
        <v>332</v>
      </c>
      <c r="I264" s="18" t="str">
        <f>RIGHT(H264,4)</f>
        <v>- 71</v>
      </c>
      <c r="J264" s="22" t="s">
        <v>331</v>
      </c>
      <c r="K264" s="23">
        <v>203564312</v>
      </c>
      <c r="L264" s="23"/>
      <c r="M264" s="126">
        <f>+Tabla13[[#This Row],[PF INICIAL]]+Tabla13[[#This Row],[AJUSTE 1]]</f>
        <v>203564312</v>
      </c>
    </row>
    <row r="265" spans="2:13" s="13" customFormat="1" ht="15.75" customHeight="1" x14ac:dyDescent="0.25">
      <c r="B265" s="24"/>
      <c r="C265" s="24"/>
      <c r="D265" s="24"/>
      <c r="E265" s="24"/>
      <c r="F265" s="24"/>
      <c r="G265" s="24"/>
      <c r="H265" s="17" t="s">
        <v>333</v>
      </c>
      <c r="I265" s="18"/>
      <c r="J265" s="19" t="s">
        <v>14</v>
      </c>
      <c r="K265" s="156">
        <f>+K266+K270+K278</f>
        <v>5571978554</v>
      </c>
      <c r="L265" s="156">
        <f t="shared" ref="L265" si="138">+L266+L270+L278</f>
        <v>0</v>
      </c>
      <c r="M265" s="156">
        <f t="shared" ref="M265" si="139">+M266+M270+M278</f>
        <v>5571978554</v>
      </c>
    </row>
    <row r="266" spans="2:13" ht="15" customHeight="1" x14ac:dyDescent="0.2">
      <c r="B266" s="16"/>
      <c r="C266" s="16"/>
      <c r="D266" s="16"/>
      <c r="E266" s="16"/>
      <c r="F266" s="16"/>
      <c r="G266" s="16"/>
      <c r="H266" s="21" t="s">
        <v>334</v>
      </c>
      <c r="I266" s="18"/>
      <c r="J266" s="22" t="s">
        <v>335</v>
      </c>
      <c r="K266" s="157">
        <f>+K267</f>
        <v>371880629</v>
      </c>
      <c r="L266" s="157">
        <f t="shared" ref="L266:M266" si="140">+L267</f>
        <v>0</v>
      </c>
      <c r="M266" s="157">
        <f t="shared" si="140"/>
        <v>371880629</v>
      </c>
    </row>
    <row r="267" spans="2:13" ht="15" customHeight="1" x14ac:dyDescent="0.2">
      <c r="B267" s="16" t="s">
        <v>1002</v>
      </c>
      <c r="C267" s="16" t="s">
        <v>1006</v>
      </c>
      <c r="D267" s="16" t="s">
        <v>1046</v>
      </c>
      <c r="E267" s="16" t="s">
        <v>1021</v>
      </c>
      <c r="F267" s="16" t="s">
        <v>1022</v>
      </c>
      <c r="G267" s="16" t="s">
        <v>1025</v>
      </c>
      <c r="H267" s="21" t="s">
        <v>336</v>
      </c>
      <c r="I267" s="18" t="str">
        <f>RIGHT(H267,4)</f>
        <v>- 72</v>
      </c>
      <c r="J267" s="22" t="s">
        <v>335</v>
      </c>
      <c r="K267" s="23">
        <v>371880629</v>
      </c>
      <c r="L267" s="23"/>
      <c r="M267" s="126">
        <f>+Tabla13[[#This Row],[PF INICIAL]]+Tabla13[[#This Row],[AJUSTE 1]]</f>
        <v>371880629</v>
      </c>
    </row>
    <row r="268" spans="2:13" ht="15" customHeight="1" x14ac:dyDescent="0.2">
      <c r="B268" s="16"/>
      <c r="C268" s="16"/>
      <c r="D268" s="16"/>
      <c r="E268" s="16"/>
      <c r="F268" s="16"/>
      <c r="G268" s="16"/>
      <c r="H268" s="21" t="s">
        <v>337</v>
      </c>
      <c r="I268" s="18"/>
      <c r="J268" s="22" t="s">
        <v>338</v>
      </c>
      <c r="K268" s="157">
        <f>+K269</f>
        <v>0</v>
      </c>
      <c r="L268" s="157">
        <f t="shared" ref="L268:M268" si="141">+L269</f>
        <v>0</v>
      </c>
      <c r="M268" s="157">
        <f t="shared" si="141"/>
        <v>0</v>
      </c>
    </row>
    <row r="269" spans="2:13" ht="15" customHeight="1" x14ac:dyDescent="0.2">
      <c r="B269" s="16" t="s">
        <v>1002</v>
      </c>
      <c r="C269" s="16" t="s">
        <v>1006</v>
      </c>
      <c r="D269" s="16" t="s">
        <v>1046</v>
      </c>
      <c r="E269" s="16" t="s">
        <v>1021</v>
      </c>
      <c r="F269" s="16" t="s">
        <v>1022</v>
      </c>
      <c r="G269" s="16" t="s">
        <v>1025</v>
      </c>
      <c r="H269" s="21" t="s">
        <v>339</v>
      </c>
      <c r="I269" s="18" t="str">
        <f>RIGHT(H269,4)</f>
        <v xml:space="preserve"> 150</v>
      </c>
      <c r="J269" s="22" t="s">
        <v>338</v>
      </c>
      <c r="K269" s="23">
        <v>0</v>
      </c>
      <c r="L269" s="23"/>
      <c r="M269" s="126">
        <f>+Tabla13[[#This Row],[PF INICIAL]]+Tabla13[[#This Row],[AJUSTE 1]]</f>
        <v>0</v>
      </c>
    </row>
    <row r="270" spans="2:13" ht="15" customHeight="1" x14ac:dyDescent="0.2">
      <c r="B270" s="16"/>
      <c r="C270" s="16"/>
      <c r="D270" s="16"/>
      <c r="E270" s="16"/>
      <c r="F270" s="16"/>
      <c r="G270" s="16"/>
      <c r="H270" s="21" t="s">
        <v>340</v>
      </c>
      <c r="I270" s="18"/>
      <c r="J270" s="22" t="s">
        <v>29</v>
      </c>
      <c r="K270" s="157">
        <f>+K271</f>
        <v>751578099</v>
      </c>
      <c r="L270" s="157">
        <f t="shared" ref="L270:M270" si="142">+L271</f>
        <v>0</v>
      </c>
      <c r="M270" s="157">
        <f t="shared" si="142"/>
        <v>751578099</v>
      </c>
    </row>
    <row r="271" spans="2:13" ht="15" customHeight="1" x14ac:dyDescent="0.2">
      <c r="B271" s="16"/>
      <c r="C271" s="16"/>
      <c r="D271" s="16"/>
      <c r="E271" s="16"/>
      <c r="F271" s="16"/>
      <c r="G271" s="16"/>
      <c r="H271" s="21" t="s">
        <v>341</v>
      </c>
      <c r="I271" s="18"/>
      <c r="J271" s="22" t="s">
        <v>31</v>
      </c>
      <c r="K271" s="157">
        <f>+K272+K275</f>
        <v>751578099</v>
      </c>
      <c r="L271" s="157">
        <f t="shared" ref="L271" si="143">+L272+L275</f>
        <v>0</v>
      </c>
      <c r="M271" s="157">
        <f t="shared" ref="M271" si="144">+M272+M275</f>
        <v>751578099</v>
      </c>
    </row>
    <row r="272" spans="2:13" ht="30" customHeight="1" x14ac:dyDescent="0.2">
      <c r="B272" s="16"/>
      <c r="C272" s="16"/>
      <c r="D272" s="16"/>
      <c r="E272" s="16"/>
      <c r="F272" s="16"/>
      <c r="G272" s="16"/>
      <c r="H272" s="21" t="s">
        <v>342</v>
      </c>
      <c r="I272" s="18"/>
      <c r="J272" s="22" t="s">
        <v>33</v>
      </c>
      <c r="K272" s="157">
        <f>+K273+K274</f>
        <v>320371442</v>
      </c>
      <c r="L272" s="157">
        <f t="shared" ref="L272" si="145">+L273+L274</f>
        <v>0</v>
      </c>
      <c r="M272" s="157">
        <f t="shared" ref="M272" si="146">+M273+M274</f>
        <v>320371442</v>
      </c>
    </row>
    <row r="273" spans="2:13" ht="30" customHeight="1" x14ac:dyDescent="0.2">
      <c r="B273" s="16" t="s">
        <v>1002</v>
      </c>
      <c r="C273" s="16" t="s">
        <v>1006</v>
      </c>
      <c r="D273" s="16" t="s">
        <v>1046</v>
      </c>
      <c r="E273" s="16" t="s">
        <v>1021</v>
      </c>
      <c r="F273" s="16" t="s">
        <v>1022</v>
      </c>
      <c r="G273" s="16" t="s">
        <v>1025</v>
      </c>
      <c r="H273" s="21" t="s">
        <v>343</v>
      </c>
      <c r="I273" s="18" t="str">
        <f>RIGHT(H273,4)</f>
        <v xml:space="preserve"> 150</v>
      </c>
      <c r="J273" s="22" t="s">
        <v>35</v>
      </c>
      <c r="K273" s="23">
        <v>124968007</v>
      </c>
      <c r="L273" s="23"/>
      <c r="M273" s="126">
        <f>+Tabla13[[#This Row],[PF INICIAL]]+Tabla13[[#This Row],[AJUSTE 1]]</f>
        <v>124968007</v>
      </c>
    </row>
    <row r="274" spans="2:13" ht="14.1" customHeight="1" x14ac:dyDescent="0.2">
      <c r="B274" s="16" t="s">
        <v>1002</v>
      </c>
      <c r="C274" s="16" t="s">
        <v>1006</v>
      </c>
      <c r="D274" s="16" t="s">
        <v>1046</v>
      </c>
      <c r="E274" s="16" t="s">
        <v>1021</v>
      </c>
      <c r="F274" s="16" t="s">
        <v>1022</v>
      </c>
      <c r="G274" s="16" t="s">
        <v>1025</v>
      </c>
      <c r="H274" s="21" t="s">
        <v>344</v>
      </c>
      <c r="I274" s="18" t="str">
        <f>RIGHT(H274,4)</f>
        <v xml:space="preserve"> 150</v>
      </c>
      <c r="J274" s="22" t="s">
        <v>38</v>
      </c>
      <c r="K274" s="23">
        <v>195403435</v>
      </c>
      <c r="L274" s="23"/>
      <c r="M274" s="126">
        <f>+Tabla13[[#This Row],[PF INICIAL]]+Tabla13[[#This Row],[AJUSTE 1]]</f>
        <v>195403435</v>
      </c>
    </row>
    <row r="275" spans="2:13" ht="30" customHeight="1" x14ac:dyDescent="0.2">
      <c r="B275" s="16"/>
      <c r="C275" s="16"/>
      <c r="D275" s="16"/>
      <c r="E275" s="16"/>
      <c r="F275" s="16"/>
      <c r="G275" s="16"/>
      <c r="H275" s="21" t="s">
        <v>345</v>
      </c>
      <c r="I275" s="18"/>
      <c r="J275" s="22" t="s">
        <v>41</v>
      </c>
      <c r="K275" s="157">
        <f>+K276+K277</f>
        <v>431206657</v>
      </c>
      <c r="L275" s="157">
        <f t="shared" ref="L275" si="147">+L276+L277</f>
        <v>0</v>
      </c>
      <c r="M275" s="157">
        <f t="shared" ref="M275" si="148">+M276+M277</f>
        <v>431206657</v>
      </c>
    </row>
    <row r="276" spans="2:13" ht="30" customHeight="1" x14ac:dyDescent="0.2">
      <c r="B276" s="16" t="s">
        <v>1002</v>
      </c>
      <c r="C276" s="16" t="s">
        <v>1006</v>
      </c>
      <c r="D276" s="16" t="s">
        <v>1046</v>
      </c>
      <c r="E276" s="16" t="s">
        <v>1021</v>
      </c>
      <c r="F276" s="16" t="s">
        <v>1022</v>
      </c>
      <c r="G276" s="16" t="s">
        <v>1025</v>
      </c>
      <c r="H276" s="21" t="s">
        <v>346</v>
      </c>
      <c r="I276" s="18" t="str">
        <f>RIGHT(H276,4)</f>
        <v xml:space="preserve"> 150</v>
      </c>
      <c r="J276" s="22" t="s">
        <v>43</v>
      </c>
      <c r="K276" s="23">
        <v>138101501</v>
      </c>
      <c r="L276" s="23"/>
      <c r="M276" s="126">
        <f>+Tabla13[[#This Row],[PF INICIAL]]+Tabla13[[#This Row],[AJUSTE 1]]</f>
        <v>138101501</v>
      </c>
    </row>
    <row r="277" spans="2:13" ht="17.45" customHeight="1" x14ac:dyDescent="0.2">
      <c r="B277" s="16" t="s">
        <v>1002</v>
      </c>
      <c r="C277" s="16" t="s">
        <v>1006</v>
      </c>
      <c r="D277" s="16" t="s">
        <v>1046</v>
      </c>
      <c r="E277" s="16" t="s">
        <v>1021</v>
      </c>
      <c r="F277" s="16" t="s">
        <v>1022</v>
      </c>
      <c r="G277" s="16" t="s">
        <v>1025</v>
      </c>
      <c r="H277" s="21" t="s">
        <v>347</v>
      </c>
      <c r="I277" s="18" t="str">
        <f>RIGHT(H277,4)</f>
        <v xml:space="preserve"> 150</v>
      </c>
      <c r="J277" s="22" t="s">
        <v>46</v>
      </c>
      <c r="K277" s="23">
        <v>293105156</v>
      </c>
      <c r="L277" s="23"/>
      <c r="M277" s="126">
        <f>+Tabla13[[#This Row],[PF INICIAL]]+Tabla13[[#This Row],[AJUSTE 1]]</f>
        <v>293105156</v>
      </c>
    </row>
    <row r="278" spans="2:13" ht="15" customHeight="1" x14ac:dyDescent="0.2">
      <c r="B278" s="16"/>
      <c r="C278" s="16"/>
      <c r="D278" s="16"/>
      <c r="E278" s="16"/>
      <c r="F278" s="16"/>
      <c r="G278" s="16"/>
      <c r="H278" s="21" t="s">
        <v>348</v>
      </c>
      <c r="I278" s="18"/>
      <c r="J278" s="22" t="s">
        <v>49</v>
      </c>
      <c r="K278" s="157">
        <f>+K279+K281</f>
        <v>4448519826</v>
      </c>
      <c r="L278" s="157">
        <f t="shared" ref="L278" si="149">+L279+L281</f>
        <v>0</v>
      </c>
      <c r="M278" s="157">
        <f t="shared" ref="M278" si="150">+M279+M281</f>
        <v>4448519826</v>
      </c>
    </row>
    <row r="279" spans="2:13" ht="15" customHeight="1" x14ac:dyDescent="0.2">
      <c r="B279" s="16"/>
      <c r="C279" s="16"/>
      <c r="D279" s="16"/>
      <c r="E279" s="16"/>
      <c r="F279" s="16"/>
      <c r="G279" s="16"/>
      <c r="H279" s="21" t="s">
        <v>349</v>
      </c>
      <c r="I279" s="18"/>
      <c r="J279" s="22" t="s">
        <v>51</v>
      </c>
      <c r="K279" s="157">
        <f>+K280</f>
        <v>4446770946</v>
      </c>
      <c r="L279" s="157">
        <f t="shared" ref="L279:M279" si="151">+L280</f>
        <v>0</v>
      </c>
      <c r="M279" s="157">
        <f t="shared" si="151"/>
        <v>4446770946</v>
      </c>
    </row>
    <row r="280" spans="2:13" ht="15" customHeight="1" x14ac:dyDescent="0.2">
      <c r="B280" s="16" t="s">
        <v>1002</v>
      </c>
      <c r="C280" s="16" t="s">
        <v>1006</v>
      </c>
      <c r="D280" s="16" t="s">
        <v>1046</v>
      </c>
      <c r="E280" s="16" t="s">
        <v>1021</v>
      </c>
      <c r="F280" s="16" t="s">
        <v>1022</v>
      </c>
      <c r="G280" s="16" t="s">
        <v>1025</v>
      </c>
      <c r="H280" s="21" t="s">
        <v>350</v>
      </c>
      <c r="I280" s="18" t="str">
        <f>RIGHT(H280,4)</f>
        <v>- 29</v>
      </c>
      <c r="J280" s="22" t="s">
        <v>51</v>
      </c>
      <c r="K280" s="23">
        <v>4446770946</v>
      </c>
      <c r="L280" s="23"/>
      <c r="M280" s="126">
        <f>+Tabla13[[#This Row],[PF INICIAL]]+Tabla13[[#This Row],[AJUSTE 1]]</f>
        <v>4446770946</v>
      </c>
    </row>
    <row r="281" spans="2:13" ht="15" customHeight="1" x14ac:dyDescent="0.2">
      <c r="B281" s="16"/>
      <c r="C281" s="16"/>
      <c r="D281" s="16"/>
      <c r="E281" s="16"/>
      <c r="F281" s="16"/>
      <c r="G281" s="16"/>
      <c r="H281" s="21" t="s">
        <v>351</v>
      </c>
      <c r="I281" s="18"/>
      <c r="J281" s="22" t="s">
        <v>54</v>
      </c>
      <c r="K281" s="157">
        <f>+K282</f>
        <v>1748880</v>
      </c>
      <c r="L281" s="157">
        <f t="shared" ref="L281:M281" si="152">+L282</f>
        <v>0</v>
      </c>
      <c r="M281" s="157">
        <f t="shared" si="152"/>
        <v>1748880</v>
      </c>
    </row>
    <row r="282" spans="2:13" ht="15" customHeight="1" x14ac:dyDescent="0.2">
      <c r="B282" s="16" t="s">
        <v>1002</v>
      </c>
      <c r="C282" s="16" t="s">
        <v>1006</v>
      </c>
      <c r="D282" s="16" t="s">
        <v>1046</v>
      </c>
      <c r="E282" s="16" t="s">
        <v>1021</v>
      </c>
      <c r="F282" s="16" t="s">
        <v>1022</v>
      </c>
      <c r="G282" s="16" t="s">
        <v>1025</v>
      </c>
      <c r="H282" s="21" t="s">
        <v>352</v>
      </c>
      <c r="I282" s="18" t="str">
        <f>RIGHT(H282,4)</f>
        <v>- 29</v>
      </c>
      <c r="J282" s="22" t="s">
        <v>54</v>
      </c>
      <c r="K282" s="23">
        <v>1748880</v>
      </c>
      <c r="L282" s="23"/>
      <c r="M282" s="126">
        <f>+Tabla13[[#This Row],[PF INICIAL]]+Tabla13[[#This Row],[AJUSTE 1]]</f>
        <v>1748880</v>
      </c>
    </row>
    <row r="283" spans="2:13" s="13" customFormat="1" ht="15.75" customHeight="1" x14ac:dyDescent="0.25">
      <c r="B283" s="24"/>
      <c r="C283" s="24"/>
      <c r="D283" s="24"/>
      <c r="E283" s="24"/>
      <c r="F283" s="24"/>
      <c r="G283" s="24"/>
      <c r="H283" s="17" t="s">
        <v>353</v>
      </c>
      <c r="I283" s="18"/>
      <c r="J283" s="19" t="s">
        <v>86</v>
      </c>
      <c r="K283" s="156">
        <f>+K284+K287</f>
        <v>6437427711</v>
      </c>
      <c r="L283" s="156">
        <f t="shared" ref="L283" si="153">+L284+L287</f>
        <v>0</v>
      </c>
      <c r="M283" s="156">
        <f t="shared" ref="M283" si="154">+M284+M287</f>
        <v>6437427711</v>
      </c>
    </row>
    <row r="284" spans="2:13" s="13" customFormat="1" ht="15.75" customHeight="1" x14ac:dyDescent="0.25">
      <c r="B284" s="24"/>
      <c r="C284" s="24"/>
      <c r="D284" s="24"/>
      <c r="E284" s="24"/>
      <c r="F284" s="24"/>
      <c r="G284" s="24"/>
      <c r="H284" s="17" t="s">
        <v>354</v>
      </c>
      <c r="I284" s="18"/>
      <c r="J284" s="19" t="s">
        <v>355</v>
      </c>
      <c r="K284" s="156">
        <f>+K285</f>
        <v>16326200</v>
      </c>
      <c r="L284" s="156">
        <f t="shared" ref="L284:M285" si="155">+L285</f>
        <v>0</v>
      </c>
      <c r="M284" s="156">
        <f t="shared" si="155"/>
        <v>16326200</v>
      </c>
    </row>
    <row r="285" spans="2:13" ht="15" customHeight="1" x14ac:dyDescent="0.2">
      <c r="B285" s="16"/>
      <c r="C285" s="16"/>
      <c r="D285" s="16"/>
      <c r="E285" s="16"/>
      <c r="F285" s="16"/>
      <c r="G285" s="16"/>
      <c r="H285" s="21" t="s">
        <v>356</v>
      </c>
      <c r="I285" s="18"/>
      <c r="J285" s="22" t="s">
        <v>357</v>
      </c>
      <c r="K285" s="157">
        <f>+K286</f>
        <v>16326200</v>
      </c>
      <c r="L285" s="157">
        <f t="shared" si="155"/>
        <v>0</v>
      </c>
      <c r="M285" s="157">
        <f t="shared" si="155"/>
        <v>16326200</v>
      </c>
    </row>
    <row r="286" spans="2:13" ht="15" customHeight="1" x14ac:dyDescent="0.2">
      <c r="B286" s="16" t="s">
        <v>1002</v>
      </c>
      <c r="C286" s="16" t="s">
        <v>1006</v>
      </c>
      <c r="D286" s="16" t="s">
        <v>1046</v>
      </c>
      <c r="E286" s="16" t="s">
        <v>1021</v>
      </c>
      <c r="F286" s="16" t="s">
        <v>1022</v>
      </c>
      <c r="G286" s="16" t="s">
        <v>1025</v>
      </c>
      <c r="H286" s="21" t="s">
        <v>358</v>
      </c>
      <c r="I286" s="18" t="str">
        <f>RIGHT(H286,4)</f>
        <v>- 34</v>
      </c>
      <c r="J286" s="22" t="s">
        <v>359</v>
      </c>
      <c r="K286" s="23">
        <v>16326200</v>
      </c>
      <c r="L286" s="23"/>
      <c r="M286" s="126">
        <f>+Tabla13[[#This Row],[PF INICIAL]]+Tabla13[[#This Row],[AJUSTE 1]]</f>
        <v>16326200</v>
      </c>
    </row>
    <row r="287" spans="2:13" s="13" customFormat="1" ht="15.75" customHeight="1" x14ac:dyDescent="0.25">
      <c r="B287" s="24"/>
      <c r="C287" s="24"/>
      <c r="D287" s="24"/>
      <c r="E287" s="24"/>
      <c r="F287" s="24"/>
      <c r="G287" s="24"/>
      <c r="H287" s="17" t="s">
        <v>360</v>
      </c>
      <c r="I287" s="18"/>
      <c r="J287" s="19" t="s">
        <v>195</v>
      </c>
      <c r="K287" s="156">
        <f>+K288+K297</f>
        <v>6421101511</v>
      </c>
      <c r="L287" s="156">
        <f t="shared" ref="L287" si="156">+L288+L297</f>
        <v>0</v>
      </c>
      <c r="M287" s="156">
        <f t="shared" ref="M287" si="157">+M288+M297</f>
        <v>6421101511</v>
      </c>
    </row>
    <row r="288" spans="2:13" ht="15" customHeight="1" x14ac:dyDescent="0.2">
      <c r="B288" s="16"/>
      <c r="C288" s="16"/>
      <c r="D288" s="16"/>
      <c r="E288" s="16"/>
      <c r="F288" s="16"/>
      <c r="G288" s="16"/>
      <c r="H288" s="21" t="s">
        <v>361</v>
      </c>
      <c r="I288" s="18"/>
      <c r="J288" s="22" t="s">
        <v>362</v>
      </c>
      <c r="K288" s="157">
        <f>+K289+K291+K293+K295</f>
        <v>3238509763</v>
      </c>
      <c r="L288" s="157">
        <f t="shared" ref="L288" si="158">+L289+L291+L293+L295</f>
        <v>0</v>
      </c>
      <c r="M288" s="157">
        <f t="shared" ref="M288" si="159">+M289+M291+M293+M295</f>
        <v>3238509763</v>
      </c>
    </row>
    <row r="289" spans="2:13" ht="15" customHeight="1" x14ac:dyDescent="0.2">
      <c r="B289" s="16"/>
      <c r="C289" s="16"/>
      <c r="D289" s="16"/>
      <c r="E289" s="16"/>
      <c r="F289" s="16"/>
      <c r="G289" s="16"/>
      <c r="H289" s="21" t="s">
        <v>363</v>
      </c>
      <c r="I289" s="18"/>
      <c r="J289" s="22" t="s">
        <v>364</v>
      </c>
      <c r="K289" s="157">
        <f>+K290</f>
        <v>529041108</v>
      </c>
      <c r="L289" s="157">
        <f t="shared" ref="L289:M289" si="160">+L290</f>
        <v>0</v>
      </c>
      <c r="M289" s="157">
        <f t="shared" si="160"/>
        <v>529041108</v>
      </c>
    </row>
    <row r="290" spans="2:13" ht="15" customHeight="1" x14ac:dyDescent="0.2">
      <c r="B290" s="16" t="s">
        <v>1002</v>
      </c>
      <c r="C290" s="16" t="s">
        <v>1006</v>
      </c>
      <c r="D290" s="16" t="s">
        <v>1046</v>
      </c>
      <c r="E290" s="16" t="s">
        <v>1021</v>
      </c>
      <c r="F290" s="16" t="s">
        <v>1022</v>
      </c>
      <c r="G290" s="16" t="s">
        <v>1025</v>
      </c>
      <c r="H290" s="21" t="s">
        <v>365</v>
      </c>
      <c r="I290" s="18" t="str">
        <f t="shared" ref="I290:I296" si="161">RIGHT(H290,4)</f>
        <v>- 71</v>
      </c>
      <c r="J290" s="22" t="s">
        <v>364</v>
      </c>
      <c r="K290" s="23">
        <v>529041108</v>
      </c>
      <c r="L290" s="23"/>
      <c r="M290" s="126">
        <f>+Tabla13[[#This Row],[PF INICIAL]]+Tabla13[[#This Row],[AJUSTE 1]]</f>
        <v>529041108</v>
      </c>
    </row>
    <row r="291" spans="2:13" ht="30" customHeight="1" x14ac:dyDescent="0.2">
      <c r="B291" s="16"/>
      <c r="C291" s="16"/>
      <c r="D291" s="16"/>
      <c r="E291" s="16"/>
      <c r="F291" s="16"/>
      <c r="G291" s="16"/>
      <c r="H291" s="21" t="s">
        <v>366</v>
      </c>
      <c r="I291" s="18"/>
      <c r="J291" s="22" t="s">
        <v>367</v>
      </c>
      <c r="K291" s="157">
        <f>+K292</f>
        <v>1976205363</v>
      </c>
      <c r="L291" s="157">
        <f t="shared" ref="L291:M291" si="162">+L292</f>
        <v>0</v>
      </c>
      <c r="M291" s="157">
        <f t="shared" si="162"/>
        <v>1976205363</v>
      </c>
    </row>
    <row r="292" spans="2:13" ht="30" customHeight="1" x14ac:dyDescent="0.2">
      <c r="B292" s="16" t="s">
        <v>1002</v>
      </c>
      <c r="C292" s="16" t="s">
        <v>1006</v>
      </c>
      <c r="D292" s="16" t="s">
        <v>1046</v>
      </c>
      <c r="E292" s="16" t="s">
        <v>1021</v>
      </c>
      <c r="F292" s="16" t="s">
        <v>1022</v>
      </c>
      <c r="G292" s="16" t="s">
        <v>1025</v>
      </c>
      <c r="H292" s="21" t="s">
        <v>368</v>
      </c>
      <c r="I292" s="18" t="str">
        <f t="shared" si="161"/>
        <v>- 70</v>
      </c>
      <c r="J292" s="22" t="s">
        <v>367</v>
      </c>
      <c r="K292" s="23">
        <v>1976205363</v>
      </c>
      <c r="L292" s="23"/>
      <c r="M292" s="126">
        <f>+Tabla13[[#This Row],[PF INICIAL]]+Tabla13[[#This Row],[AJUSTE 1]]</f>
        <v>1976205363</v>
      </c>
    </row>
    <row r="293" spans="2:13" ht="30" customHeight="1" x14ac:dyDescent="0.2">
      <c r="B293" s="16"/>
      <c r="C293" s="16"/>
      <c r="D293" s="16"/>
      <c r="E293" s="16"/>
      <c r="F293" s="16"/>
      <c r="G293" s="16"/>
      <c r="H293" s="21" t="s">
        <v>369</v>
      </c>
      <c r="I293" s="18"/>
      <c r="J293" s="22" t="s">
        <v>370</v>
      </c>
      <c r="K293" s="157">
        <f>+K294</f>
        <v>13906851</v>
      </c>
      <c r="L293" s="157">
        <f t="shared" ref="L293:M293" si="163">+L294</f>
        <v>0</v>
      </c>
      <c r="M293" s="157">
        <f t="shared" si="163"/>
        <v>13906851</v>
      </c>
    </row>
    <row r="294" spans="2:13" ht="30" customHeight="1" x14ac:dyDescent="0.2">
      <c r="B294" s="16" t="s">
        <v>1002</v>
      </c>
      <c r="C294" s="16" t="s">
        <v>1006</v>
      </c>
      <c r="D294" s="16" t="s">
        <v>1046</v>
      </c>
      <c r="E294" s="16" t="s">
        <v>1021</v>
      </c>
      <c r="F294" s="16" t="s">
        <v>1022</v>
      </c>
      <c r="G294" s="16" t="s">
        <v>1025</v>
      </c>
      <c r="H294" s="21" t="s">
        <v>371</v>
      </c>
      <c r="I294" s="18" t="str">
        <f t="shared" si="161"/>
        <v xml:space="preserve"> 103</v>
      </c>
      <c r="J294" s="22" t="s">
        <v>370</v>
      </c>
      <c r="K294" s="23">
        <v>13906851</v>
      </c>
      <c r="L294" s="23"/>
      <c r="M294" s="126">
        <f>+Tabla13[[#This Row],[PF INICIAL]]+Tabla13[[#This Row],[AJUSTE 1]]</f>
        <v>13906851</v>
      </c>
    </row>
    <row r="295" spans="2:13" ht="15" customHeight="1" x14ac:dyDescent="0.2">
      <c r="B295" s="16"/>
      <c r="C295" s="16"/>
      <c r="D295" s="16"/>
      <c r="E295" s="16"/>
      <c r="F295" s="16"/>
      <c r="G295" s="16"/>
      <c r="H295" s="21" t="s">
        <v>372</v>
      </c>
      <c r="I295" s="18"/>
      <c r="J295" s="22" t="s">
        <v>373</v>
      </c>
      <c r="K295" s="157">
        <f>+K296</f>
        <v>719356441</v>
      </c>
      <c r="L295" s="157">
        <f t="shared" ref="L295:M295" si="164">+L296</f>
        <v>0</v>
      </c>
      <c r="M295" s="157">
        <f t="shared" si="164"/>
        <v>719356441</v>
      </c>
    </row>
    <row r="296" spans="2:13" ht="15" customHeight="1" x14ac:dyDescent="0.2">
      <c r="B296" s="16" t="s">
        <v>1002</v>
      </c>
      <c r="C296" s="16" t="s">
        <v>1006</v>
      </c>
      <c r="D296" s="16" t="s">
        <v>1046</v>
      </c>
      <c r="E296" s="16" t="s">
        <v>1021</v>
      </c>
      <c r="F296" s="16" t="s">
        <v>1022</v>
      </c>
      <c r="G296" s="16" t="s">
        <v>1025</v>
      </c>
      <c r="H296" s="21" t="s">
        <v>374</v>
      </c>
      <c r="I296" s="18" t="str">
        <f t="shared" si="161"/>
        <v>- 89</v>
      </c>
      <c r="J296" s="22" t="s">
        <v>373</v>
      </c>
      <c r="K296" s="23">
        <v>719356441</v>
      </c>
      <c r="L296" s="23"/>
      <c r="M296" s="126">
        <f>+Tabla13[[#This Row],[PF INICIAL]]+Tabla13[[#This Row],[AJUSTE 1]]</f>
        <v>719356441</v>
      </c>
    </row>
    <row r="297" spans="2:13" ht="30" customHeight="1" x14ac:dyDescent="0.2">
      <c r="B297" s="16"/>
      <c r="C297" s="16"/>
      <c r="D297" s="16"/>
      <c r="E297" s="16"/>
      <c r="F297" s="16"/>
      <c r="G297" s="16"/>
      <c r="H297" s="21" t="s">
        <v>375</v>
      </c>
      <c r="I297" s="18"/>
      <c r="J297" s="22" t="s">
        <v>197</v>
      </c>
      <c r="K297" s="157">
        <f>+K298</f>
        <v>3182591748</v>
      </c>
      <c r="L297" s="157">
        <f t="shared" ref="L297:M297" si="165">+L298</f>
        <v>0</v>
      </c>
      <c r="M297" s="157">
        <f t="shared" si="165"/>
        <v>3182591748</v>
      </c>
    </row>
    <row r="298" spans="2:13" ht="30" customHeight="1" x14ac:dyDescent="0.2">
      <c r="B298" s="16"/>
      <c r="C298" s="16"/>
      <c r="D298" s="16"/>
      <c r="E298" s="16"/>
      <c r="F298" s="16"/>
      <c r="G298" s="16"/>
      <c r="H298" s="21" t="s">
        <v>376</v>
      </c>
      <c r="I298" s="18"/>
      <c r="J298" s="22" t="s">
        <v>199</v>
      </c>
      <c r="K298" s="157">
        <f>+K299+K304</f>
        <v>3182591748</v>
      </c>
      <c r="L298" s="157">
        <f t="shared" ref="L298" si="166">+L299+L304</f>
        <v>0</v>
      </c>
      <c r="M298" s="157">
        <f t="shared" ref="M298" si="167">+M299+M304</f>
        <v>3182591748</v>
      </c>
    </row>
    <row r="299" spans="2:13" ht="15" customHeight="1" x14ac:dyDescent="0.2">
      <c r="B299" s="16"/>
      <c r="C299" s="16"/>
      <c r="D299" s="16"/>
      <c r="E299" s="16"/>
      <c r="F299" s="16"/>
      <c r="G299" s="16"/>
      <c r="H299" s="21" t="s">
        <v>377</v>
      </c>
      <c r="I299" s="18"/>
      <c r="J299" s="22" t="s">
        <v>201</v>
      </c>
      <c r="K299" s="157">
        <f>+K300+K302</f>
        <v>175245118</v>
      </c>
      <c r="L299" s="157">
        <f t="shared" ref="L299" si="168">+L300+L302</f>
        <v>0</v>
      </c>
      <c r="M299" s="157">
        <f t="shared" ref="M299" si="169">+M300+M302</f>
        <v>175245118</v>
      </c>
    </row>
    <row r="300" spans="2:13" ht="30" customHeight="1" x14ac:dyDescent="0.2">
      <c r="B300" s="16"/>
      <c r="C300" s="16"/>
      <c r="D300" s="16"/>
      <c r="E300" s="16"/>
      <c r="F300" s="16"/>
      <c r="G300" s="16"/>
      <c r="H300" s="21" t="s">
        <v>378</v>
      </c>
      <c r="I300" s="18"/>
      <c r="J300" s="22" t="s">
        <v>203</v>
      </c>
      <c r="K300" s="157">
        <f>+K301</f>
        <v>124184943</v>
      </c>
      <c r="L300" s="157">
        <f t="shared" ref="L300:M300" si="170">+L301</f>
        <v>0</v>
      </c>
      <c r="M300" s="157">
        <f t="shared" si="170"/>
        <v>124184943</v>
      </c>
    </row>
    <row r="301" spans="2:13" ht="30" customHeight="1" x14ac:dyDescent="0.2">
      <c r="B301" s="16" t="s">
        <v>1002</v>
      </c>
      <c r="C301" s="16" t="s">
        <v>1006</v>
      </c>
      <c r="D301" s="16" t="s">
        <v>1046</v>
      </c>
      <c r="E301" s="16" t="s">
        <v>1021</v>
      </c>
      <c r="F301" s="16" t="s">
        <v>1022</v>
      </c>
      <c r="G301" s="16" t="s">
        <v>1025</v>
      </c>
      <c r="H301" s="21" t="s">
        <v>379</v>
      </c>
      <c r="I301" s="18" t="str">
        <f>RIGHT(H301,4)</f>
        <v xml:space="preserve"> 150</v>
      </c>
      <c r="J301" s="22" t="s">
        <v>203</v>
      </c>
      <c r="K301" s="23">
        <v>124184943</v>
      </c>
      <c r="L301" s="23"/>
      <c r="M301" s="126">
        <f>+Tabla13[[#This Row],[PF INICIAL]]+Tabla13[[#This Row],[AJUSTE 1]]</f>
        <v>124184943</v>
      </c>
    </row>
    <row r="302" spans="2:13" ht="30" customHeight="1" x14ac:dyDescent="0.2">
      <c r="B302" s="16"/>
      <c r="C302" s="16"/>
      <c r="D302" s="16"/>
      <c r="E302" s="16"/>
      <c r="F302" s="16"/>
      <c r="G302" s="16"/>
      <c r="H302" s="21" t="s">
        <v>380</v>
      </c>
      <c r="I302" s="18"/>
      <c r="J302" s="22" t="s">
        <v>207</v>
      </c>
      <c r="K302" s="157">
        <f>+K303</f>
        <v>51060175</v>
      </c>
      <c r="L302" s="157">
        <f t="shared" ref="L302:M302" si="171">+L303</f>
        <v>0</v>
      </c>
      <c r="M302" s="157">
        <f t="shared" si="171"/>
        <v>51060175</v>
      </c>
    </row>
    <row r="303" spans="2:13" ht="30" customHeight="1" x14ac:dyDescent="0.2">
      <c r="B303" s="16" t="s">
        <v>1002</v>
      </c>
      <c r="C303" s="16" t="s">
        <v>1006</v>
      </c>
      <c r="D303" s="16" t="s">
        <v>1046</v>
      </c>
      <c r="E303" s="16" t="s">
        <v>1021</v>
      </c>
      <c r="F303" s="16" t="s">
        <v>1022</v>
      </c>
      <c r="G303" s="16" t="s">
        <v>1025</v>
      </c>
      <c r="H303" s="21" t="s">
        <v>381</v>
      </c>
      <c r="I303" s="18" t="str">
        <f>RIGHT(H303,4)</f>
        <v xml:space="preserve"> 150</v>
      </c>
      <c r="J303" s="22" t="s">
        <v>207</v>
      </c>
      <c r="K303" s="23">
        <v>51060175</v>
      </c>
      <c r="L303" s="23"/>
      <c r="M303" s="126">
        <f>+Tabla13[[#This Row],[PF INICIAL]]+Tabla13[[#This Row],[AJUSTE 1]]</f>
        <v>51060175</v>
      </c>
    </row>
    <row r="304" spans="2:13" ht="15" customHeight="1" x14ac:dyDescent="0.2">
      <c r="B304" s="16"/>
      <c r="C304" s="16"/>
      <c r="D304" s="16"/>
      <c r="E304" s="16"/>
      <c r="F304" s="16"/>
      <c r="G304" s="16"/>
      <c r="H304" s="21" t="s">
        <v>382</v>
      </c>
      <c r="I304" s="18"/>
      <c r="J304" s="22" t="s">
        <v>211</v>
      </c>
      <c r="K304" s="157">
        <f>+K305</f>
        <v>3007346630</v>
      </c>
      <c r="L304" s="157">
        <f t="shared" ref="L304:M304" si="172">+L305</f>
        <v>0</v>
      </c>
      <c r="M304" s="157">
        <f t="shared" si="172"/>
        <v>3007346630</v>
      </c>
    </row>
    <row r="305" spans="2:13" ht="15" customHeight="1" x14ac:dyDescent="0.2">
      <c r="B305" s="16"/>
      <c r="C305" s="16"/>
      <c r="D305" s="16"/>
      <c r="E305" s="16"/>
      <c r="F305" s="16"/>
      <c r="G305" s="16"/>
      <c r="H305" s="21" t="s">
        <v>383</v>
      </c>
      <c r="I305" s="18"/>
      <c r="J305" s="22" t="s">
        <v>213</v>
      </c>
      <c r="K305" s="157">
        <f>+K306+K308</f>
        <v>3007346630</v>
      </c>
      <c r="L305" s="157">
        <f t="shared" ref="L305" si="173">+L306+L308</f>
        <v>0</v>
      </c>
      <c r="M305" s="157">
        <f t="shared" ref="M305" si="174">+M306+M308</f>
        <v>3007346630</v>
      </c>
    </row>
    <row r="306" spans="2:13" ht="30" customHeight="1" x14ac:dyDescent="0.2">
      <c r="B306" s="16"/>
      <c r="C306" s="16"/>
      <c r="D306" s="16"/>
      <c r="E306" s="16"/>
      <c r="F306" s="16"/>
      <c r="G306" s="16"/>
      <c r="H306" s="21" t="s">
        <v>384</v>
      </c>
      <c r="I306" s="18"/>
      <c r="J306" s="22" t="s">
        <v>215</v>
      </c>
      <c r="K306" s="157">
        <f>+K307</f>
        <v>1995824348</v>
      </c>
      <c r="L306" s="157">
        <f t="shared" ref="L306:M306" si="175">+L307</f>
        <v>0</v>
      </c>
      <c r="M306" s="157">
        <f t="shared" si="175"/>
        <v>1995824348</v>
      </c>
    </row>
    <row r="307" spans="2:13" ht="30" customHeight="1" x14ac:dyDescent="0.2">
      <c r="B307" s="16" t="s">
        <v>1002</v>
      </c>
      <c r="C307" s="16" t="s">
        <v>1006</v>
      </c>
      <c r="D307" s="16" t="s">
        <v>1046</v>
      </c>
      <c r="E307" s="16" t="s">
        <v>1021</v>
      </c>
      <c r="F307" s="16" t="s">
        <v>1022</v>
      </c>
      <c r="G307" s="16" t="s">
        <v>1025</v>
      </c>
      <c r="H307" s="21" t="s">
        <v>385</v>
      </c>
      <c r="I307" s="18" t="str">
        <f>RIGHT(H307,4)</f>
        <v xml:space="preserve"> 150</v>
      </c>
      <c r="J307" s="22" t="s">
        <v>215</v>
      </c>
      <c r="K307" s="23">
        <v>1995824348</v>
      </c>
      <c r="L307" s="23"/>
      <c r="M307" s="126">
        <f>+Tabla13[[#This Row],[PF INICIAL]]+Tabla13[[#This Row],[AJUSTE 1]]</f>
        <v>1995824348</v>
      </c>
    </row>
    <row r="308" spans="2:13" ht="30" customHeight="1" x14ac:dyDescent="0.2">
      <c r="B308" s="16"/>
      <c r="C308" s="16"/>
      <c r="D308" s="16"/>
      <c r="E308" s="16"/>
      <c r="F308" s="16"/>
      <c r="G308" s="16"/>
      <c r="H308" s="21" t="s">
        <v>386</v>
      </c>
      <c r="I308" s="18"/>
      <c r="J308" s="22" t="s">
        <v>219</v>
      </c>
      <c r="K308" s="157">
        <f>+K309</f>
        <v>1011522282</v>
      </c>
      <c r="L308" s="157">
        <f t="shared" ref="L308:M309" si="176">+L309</f>
        <v>0</v>
      </c>
      <c r="M308" s="157">
        <f t="shared" si="176"/>
        <v>1011522282</v>
      </c>
    </row>
    <row r="309" spans="2:13" ht="30" customHeight="1" x14ac:dyDescent="0.2">
      <c r="B309" s="16"/>
      <c r="C309" s="16"/>
      <c r="D309" s="16"/>
      <c r="E309" s="16"/>
      <c r="F309" s="16"/>
      <c r="G309" s="16"/>
      <c r="H309" s="21" t="s">
        <v>387</v>
      </c>
      <c r="I309" s="18"/>
      <c r="J309" s="22" t="s">
        <v>221</v>
      </c>
      <c r="K309" s="157">
        <f>+K310</f>
        <v>1011522282</v>
      </c>
      <c r="L309" s="157">
        <f t="shared" si="176"/>
        <v>0</v>
      </c>
      <c r="M309" s="157">
        <f t="shared" si="176"/>
        <v>1011522282</v>
      </c>
    </row>
    <row r="310" spans="2:13" ht="30" customHeight="1" x14ac:dyDescent="0.2">
      <c r="B310" s="16" t="s">
        <v>1002</v>
      </c>
      <c r="C310" s="16" t="s">
        <v>1006</v>
      </c>
      <c r="D310" s="16" t="s">
        <v>1046</v>
      </c>
      <c r="E310" s="16" t="s">
        <v>1021</v>
      </c>
      <c r="F310" s="16" t="s">
        <v>1022</v>
      </c>
      <c r="G310" s="16" t="s">
        <v>1025</v>
      </c>
      <c r="H310" s="21" t="s">
        <v>388</v>
      </c>
      <c r="I310" s="18" t="str">
        <f>RIGHT(H310,4)</f>
        <v xml:space="preserve"> 150</v>
      </c>
      <c r="J310" s="22" t="s">
        <v>221</v>
      </c>
      <c r="K310" s="23">
        <v>1011522282</v>
      </c>
      <c r="L310" s="23"/>
      <c r="M310" s="126">
        <f>+Tabla13[[#This Row],[PF INICIAL]]+Tabla13[[#This Row],[AJUSTE 1]]</f>
        <v>1011522282</v>
      </c>
    </row>
    <row r="311" spans="2:13" s="13" customFormat="1" ht="15.75" customHeight="1" x14ac:dyDescent="0.25">
      <c r="B311" s="24"/>
      <c r="C311" s="24"/>
      <c r="D311" s="24"/>
      <c r="E311" s="24"/>
      <c r="F311" s="24"/>
      <c r="G311" s="24"/>
      <c r="H311" s="17" t="s">
        <v>389</v>
      </c>
      <c r="I311" s="18"/>
      <c r="J311" s="19" t="s">
        <v>225</v>
      </c>
      <c r="K311" s="156">
        <f>+K312+K318+K321</f>
        <v>0</v>
      </c>
      <c r="L311" s="156">
        <f t="shared" ref="L311" si="177">+L312+L318+L321</f>
        <v>0</v>
      </c>
      <c r="M311" s="156">
        <f t="shared" ref="M311" si="178">+M312+M318+M321</f>
        <v>0</v>
      </c>
    </row>
    <row r="312" spans="2:13" s="13" customFormat="1" ht="15.75" customHeight="1" x14ac:dyDescent="0.25">
      <c r="B312" s="24"/>
      <c r="C312" s="24"/>
      <c r="D312" s="24"/>
      <c r="E312" s="24"/>
      <c r="F312" s="24"/>
      <c r="G312" s="24"/>
      <c r="H312" s="17" t="s">
        <v>390</v>
      </c>
      <c r="I312" s="18"/>
      <c r="J312" s="19" t="s">
        <v>239</v>
      </c>
      <c r="K312" s="156">
        <v>0</v>
      </c>
      <c r="L312" s="156">
        <v>0</v>
      </c>
      <c r="M312" s="156">
        <v>0</v>
      </c>
    </row>
    <row r="313" spans="2:13" s="13" customFormat="1" ht="15.75" customHeight="1" x14ac:dyDescent="0.25">
      <c r="B313" s="24"/>
      <c r="C313" s="24"/>
      <c r="D313" s="24"/>
      <c r="E313" s="24"/>
      <c r="F313" s="24"/>
      <c r="G313" s="24"/>
      <c r="H313" s="17" t="s">
        <v>391</v>
      </c>
      <c r="I313" s="18"/>
      <c r="J313" s="19" t="s">
        <v>241</v>
      </c>
      <c r="K313" s="156">
        <f>SUM(K314:K317)</f>
        <v>0</v>
      </c>
      <c r="L313" s="156">
        <f t="shared" ref="L313" si="179">SUM(L314:L317)</f>
        <v>0</v>
      </c>
      <c r="M313" s="156">
        <f t="shared" ref="M313" si="180">SUM(M314:M317)</f>
        <v>0</v>
      </c>
    </row>
    <row r="314" spans="2:13" ht="15" customHeight="1" x14ac:dyDescent="0.2">
      <c r="B314" s="16" t="s">
        <v>1002</v>
      </c>
      <c r="C314" s="16" t="s">
        <v>1006</v>
      </c>
      <c r="D314" s="16" t="s">
        <v>1046</v>
      </c>
      <c r="E314" s="16" t="s">
        <v>1021</v>
      </c>
      <c r="F314" s="16" t="s">
        <v>1023</v>
      </c>
      <c r="G314" s="16" t="s">
        <v>1028</v>
      </c>
      <c r="H314" s="21" t="s">
        <v>392</v>
      </c>
      <c r="I314" s="18" t="str">
        <f>RIGHT(H314,4)</f>
        <v>150F</v>
      </c>
      <c r="J314" s="22" t="s">
        <v>241</v>
      </c>
      <c r="K314" s="23">
        <v>0</v>
      </c>
      <c r="L314" s="23"/>
      <c r="M314" s="126">
        <f>+Tabla13[[#This Row],[PF INICIAL]]+Tabla13[[#This Row],[AJUSTE 1]]</f>
        <v>0</v>
      </c>
    </row>
    <row r="315" spans="2:13" ht="15" customHeight="1" x14ac:dyDescent="0.2">
      <c r="B315" s="16" t="s">
        <v>1002</v>
      </c>
      <c r="C315" s="16" t="s">
        <v>1006</v>
      </c>
      <c r="D315" s="16" t="s">
        <v>1046</v>
      </c>
      <c r="E315" s="16" t="s">
        <v>1021</v>
      </c>
      <c r="F315" s="16" t="s">
        <v>1023</v>
      </c>
      <c r="G315" s="16" t="s">
        <v>1028</v>
      </c>
      <c r="H315" s="21" t="s">
        <v>393</v>
      </c>
      <c r="I315" s="18" t="str">
        <f>RIGHT(H315,4)</f>
        <v xml:space="preserve"> 29F</v>
      </c>
      <c r="J315" s="22" t="s">
        <v>241</v>
      </c>
      <c r="K315" s="23">
        <v>0</v>
      </c>
      <c r="L315" s="23"/>
      <c r="M315" s="126">
        <f>+Tabla13[[#This Row],[PF INICIAL]]+Tabla13[[#This Row],[AJUSTE 1]]</f>
        <v>0</v>
      </c>
    </row>
    <row r="316" spans="2:13" ht="15" customHeight="1" x14ac:dyDescent="0.2">
      <c r="B316" s="16" t="s">
        <v>1002</v>
      </c>
      <c r="C316" s="16" t="s">
        <v>1006</v>
      </c>
      <c r="D316" s="16" t="s">
        <v>1046</v>
      </c>
      <c r="E316" s="16" t="s">
        <v>1021</v>
      </c>
      <c r="F316" s="16" t="s">
        <v>1023</v>
      </c>
      <c r="G316" s="16" t="s">
        <v>1028</v>
      </c>
      <c r="H316" s="21" t="s">
        <v>394</v>
      </c>
      <c r="I316" s="18" t="str">
        <f>RIGHT(H316,4)</f>
        <v xml:space="preserve"> 70F</v>
      </c>
      <c r="J316" s="22" t="s">
        <v>241</v>
      </c>
      <c r="K316" s="23">
        <v>0</v>
      </c>
      <c r="L316" s="23"/>
      <c r="M316" s="126">
        <f>+Tabla13[[#This Row],[PF INICIAL]]+Tabla13[[#This Row],[AJUSTE 1]]</f>
        <v>0</v>
      </c>
    </row>
    <row r="317" spans="2:13" ht="15" customHeight="1" x14ac:dyDescent="0.2">
      <c r="B317" s="16" t="s">
        <v>1002</v>
      </c>
      <c r="C317" s="16" t="s">
        <v>1006</v>
      </c>
      <c r="D317" s="16" t="s">
        <v>1046</v>
      </c>
      <c r="E317" s="16" t="s">
        <v>1021</v>
      </c>
      <c r="F317" s="16" t="s">
        <v>1023</v>
      </c>
      <c r="G317" s="16" t="s">
        <v>1028</v>
      </c>
      <c r="H317" s="21" t="s">
        <v>395</v>
      </c>
      <c r="I317" s="18" t="str">
        <f>RIGHT(H317,4)</f>
        <v xml:space="preserve"> 71F</v>
      </c>
      <c r="J317" s="22" t="s">
        <v>241</v>
      </c>
      <c r="K317" s="23">
        <v>0</v>
      </c>
      <c r="L317" s="23"/>
      <c r="M317" s="126">
        <f>+Tabla13[[#This Row],[PF INICIAL]]+Tabla13[[#This Row],[AJUSTE 1]]</f>
        <v>0</v>
      </c>
    </row>
    <row r="318" spans="2:13" s="13" customFormat="1" ht="15.75" customHeight="1" x14ac:dyDescent="0.25">
      <c r="B318" s="24"/>
      <c r="C318" s="24"/>
      <c r="D318" s="24"/>
      <c r="E318" s="24"/>
      <c r="F318" s="24"/>
      <c r="G318" s="24"/>
      <c r="H318" s="17" t="s">
        <v>396</v>
      </c>
      <c r="I318" s="18"/>
      <c r="J318" s="19" t="s">
        <v>267</v>
      </c>
      <c r="K318" s="156">
        <f>+K319</f>
        <v>0</v>
      </c>
      <c r="L318" s="156">
        <f t="shared" ref="L318:M319" si="181">+L319</f>
        <v>0</v>
      </c>
      <c r="M318" s="156">
        <f t="shared" si="181"/>
        <v>0</v>
      </c>
    </row>
    <row r="319" spans="2:13" s="13" customFormat="1" ht="15.75" customHeight="1" x14ac:dyDescent="0.25">
      <c r="B319" s="24"/>
      <c r="C319" s="24"/>
      <c r="D319" s="24"/>
      <c r="E319" s="24"/>
      <c r="F319" s="24"/>
      <c r="G319" s="24"/>
      <c r="H319" s="17" t="s">
        <v>397</v>
      </c>
      <c r="I319" s="18"/>
      <c r="J319" s="19" t="s">
        <v>271</v>
      </c>
      <c r="K319" s="156">
        <f>+K320</f>
        <v>0</v>
      </c>
      <c r="L319" s="156">
        <f t="shared" si="181"/>
        <v>0</v>
      </c>
      <c r="M319" s="156">
        <f t="shared" si="181"/>
        <v>0</v>
      </c>
    </row>
    <row r="320" spans="2:13" ht="15" customHeight="1" x14ac:dyDescent="0.2">
      <c r="B320" s="16" t="s">
        <v>1002</v>
      </c>
      <c r="C320" s="16" t="s">
        <v>1006</v>
      </c>
      <c r="D320" s="16" t="s">
        <v>1046</v>
      </c>
      <c r="E320" s="16" t="s">
        <v>1021</v>
      </c>
      <c r="F320" s="16" t="s">
        <v>1023</v>
      </c>
      <c r="G320" s="16" t="s">
        <v>1030</v>
      </c>
      <c r="H320" s="21" t="s">
        <v>398</v>
      </c>
      <c r="I320" s="18" t="str">
        <f>RIGHT(H320,4)</f>
        <v>34RB</v>
      </c>
      <c r="J320" s="22" t="s">
        <v>271</v>
      </c>
      <c r="K320" s="23">
        <v>0</v>
      </c>
      <c r="L320" s="23"/>
      <c r="M320" s="126">
        <f>+Tabla13[[#This Row],[PF INICIAL]]+Tabla13[[#This Row],[AJUSTE 1]]</f>
        <v>0</v>
      </c>
    </row>
    <row r="321" spans="2:13" s="13" customFormat="1" ht="15.75" customHeight="1" x14ac:dyDescent="0.25">
      <c r="B321" s="24"/>
      <c r="C321" s="24"/>
      <c r="D321" s="24"/>
      <c r="E321" s="24"/>
      <c r="F321" s="24"/>
      <c r="G321" s="24"/>
      <c r="H321" s="17" t="s">
        <v>399</v>
      </c>
      <c r="I321" s="18"/>
      <c r="J321" s="19" t="s">
        <v>273</v>
      </c>
      <c r="K321" s="156">
        <f>+K322</f>
        <v>0</v>
      </c>
      <c r="L321" s="156">
        <f t="shared" ref="L321:M322" si="182">+L322</f>
        <v>0</v>
      </c>
      <c r="M321" s="156">
        <f t="shared" si="182"/>
        <v>0</v>
      </c>
    </row>
    <row r="322" spans="2:13" s="13" customFormat="1" ht="15.75" customHeight="1" x14ac:dyDescent="0.25">
      <c r="B322" s="24"/>
      <c r="C322" s="24"/>
      <c r="D322" s="24"/>
      <c r="E322" s="24"/>
      <c r="F322" s="24"/>
      <c r="G322" s="24"/>
      <c r="H322" s="17" t="s">
        <v>400</v>
      </c>
      <c r="I322" s="18"/>
      <c r="J322" s="19" t="s">
        <v>275</v>
      </c>
      <c r="K322" s="156">
        <f>+K323</f>
        <v>0</v>
      </c>
      <c r="L322" s="156">
        <f t="shared" si="182"/>
        <v>0</v>
      </c>
      <c r="M322" s="156">
        <f t="shared" si="182"/>
        <v>0</v>
      </c>
    </row>
    <row r="323" spans="2:13" ht="15" customHeight="1" x14ac:dyDescent="0.2">
      <c r="B323" s="16" t="s">
        <v>1002</v>
      </c>
      <c r="C323" s="16" t="s">
        <v>1006</v>
      </c>
      <c r="D323" s="16" t="s">
        <v>1046</v>
      </c>
      <c r="E323" s="16" t="s">
        <v>1021</v>
      </c>
      <c r="F323" s="16" t="s">
        <v>1023</v>
      </c>
      <c r="G323" s="16" t="s">
        <v>1031</v>
      </c>
      <c r="H323" s="21" t="s">
        <v>729</v>
      </c>
      <c r="I323" s="18" t="str">
        <f>RIGHT(H323,4)</f>
        <v>- 70</v>
      </c>
      <c r="J323" s="22" t="s">
        <v>275</v>
      </c>
      <c r="K323" s="23"/>
      <c r="L323" s="23"/>
      <c r="M323" s="126">
        <f>+Tabla13[[#This Row],[PF INICIAL]]+Tabla13[[#This Row],[AJUSTE 1]]</f>
        <v>0</v>
      </c>
    </row>
    <row r="324" spans="2:13" ht="15.75" customHeight="1" x14ac:dyDescent="0.25">
      <c r="B324" s="16"/>
      <c r="C324" s="16"/>
      <c r="D324" s="16"/>
      <c r="E324" s="16"/>
      <c r="F324" s="16"/>
      <c r="G324" s="16"/>
      <c r="H324" s="37" t="s">
        <v>788</v>
      </c>
      <c r="I324" s="38"/>
      <c r="J324" s="19" t="s">
        <v>789</v>
      </c>
      <c r="K324" s="156">
        <f>+K325</f>
        <v>21611875646</v>
      </c>
      <c r="L324" s="156">
        <f t="shared" ref="L324:M324" si="183">+L325</f>
        <v>0</v>
      </c>
      <c r="M324" s="156">
        <f t="shared" si="183"/>
        <v>21611875646</v>
      </c>
    </row>
    <row r="325" spans="2:13" s="13" customFormat="1" ht="15.75" customHeight="1" x14ac:dyDescent="0.25">
      <c r="B325" s="24"/>
      <c r="C325" s="24"/>
      <c r="D325" s="24"/>
      <c r="E325" s="24"/>
      <c r="F325" s="24"/>
      <c r="G325" s="24"/>
      <c r="H325" s="17" t="s">
        <v>401</v>
      </c>
      <c r="I325" s="18"/>
      <c r="J325" s="19" t="s">
        <v>1</v>
      </c>
      <c r="K325" s="156">
        <f>+K326+K352</f>
        <v>21611875646</v>
      </c>
      <c r="L325" s="156">
        <f t="shared" ref="L325" si="184">+L326+L352</f>
        <v>0</v>
      </c>
      <c r="M325" s="156">
        <f t="shared" ref="M325" si="185">+M326+M352</f>
        <v>21611875646</v>
      </c>
    </row>
    <row r="326" spans="2:13" s="13" customFormat="1" ht="15.75" customHeight="1" x14ac:dyDescent="0.25">
      <c r="B326" s="24"/>
      <c r="C326" s="24"/>
      <c r="D326" s="24"/>
      <c r="E326" s="24"/>
      <c r="F326" s="24"/>
      <c r="G326" s="24"/>
      <c r="H326" s="17" t="s">
        <v>402</v>
      </c>
      <c r="I326" s="18"/>
      <c r="J326" s="19" t="s">
        <v>3</v>
      </c>
      <c r="K326" s="156">
        <f>+K327+K337</f>
        <v>21611875646</v>
      </c>
      <c r="L326" s="156">
        <f t="shared" ref="L326" si="186">+L327+L337</f>
        <v>0</v>
      </c>
      <c r="M326" s="156">
        <f t="shared" ref="M326" si="187">+M327+M337</f>
        <v>21611875646</v>
      </c>
    </row>
    <row r="327" spans="2:13" s="13" customFormat="1" ht="15.75" customHeight="1" x14ac:dyDescent="0.25">
      <c r="B327" s="24"/>
      <c r="C327" s="24"/>
      <c r="D327" s="24"/>
      <c r="E327" s="24"/>
      <c r="F327" s="24"/>
      <c r="G327" s="24"/>
      <c r="H327" s="17" t="s">
        <v>403</v>
      </c>
      <c r="I327" s="18"/>
      <c r="J327" s="19" t="s">
        <v>5</v>
      </c>
      <c r="K327" s="156">
        <f>+K328+K331</f>
        <v>20745538145</v>
      </c>
      <c r="L327" s="156">
        <f t="shared" ref="L327" si="188">+L328+L331</f>
        <v>0</v>
      </c>
      <c r="M327" s="156">
        <f t="shared" ref="M327" si="189">+M328+M331</f>
        <v>20745538145</v>
      </c>
    </row>
    <row r="328" spans="2:13" s="13" customFormat="1" ht="15.75" customHeight="1" x14ac:dyDescent="0.25">
      <c r="B328" s="24"/>
      <c r="C328" s="24"/>
      <c r="D328" s="24"/>
      <c r="E328" s="24"/>
      <c r="F328" s="24"/>
      <c r="G328" s="24"/>
      <c r="H328" s="17" t="s">
        <v>404</v>
      </c>
      <c r="I328" s="18"/>
      <c r="J328" s="19" t="s">
        <v>7</v>
      </c>
      <c r="K328" s="156">
        <f>+K329</f>
        <v>61398005</v>
      </c>
      <c r="L328" s="156">
        <f t="shared" ref="L328:M329" si="190">+L329</f>
        <v>0</v>
      </c>
      <c r="M328" s="156">
        <f t="shared" si="190"/>
        <v>61398005</v>
      </c>
    </row>
    <row r="329" spans="2:13" ht="15" customHeight="1" x14ac:dyDescent="0.25">
      <c r="B329" s="16"/>
      <c r="C329" s="16"/>
      <c r="D329" s="16"/>
      <c r="E329" s="16"/>
      <c r="F329" s="16"/>
      <c r="G329" s="16"/>
      <c r="H329" s="21" t="s">
        <v>405</v>
      </c>
      <c r="I329" s="18"/>
      <c r="J329" s="22" t="s">
        <v>331</v>
      </c>
      <c r="K329" s="156">
        <f>+K330</f>
        <v>61398005</v>
      </c>
      <c r="L329" s="156">
        <f t="shared" si="190"/>
        <v>0</v>
      </c>
      <c r="M329" s="156">
        <f t="shared" si="190"/>
        <v>61398005</v>
      </c>
    </row>
    <row r="330" spans="2:13" ht="15" customHeight="1" x14ac:dyDescent="0.2">
      <c r="B330" s="16" t="s">
        <v>1002</v>
      </c>
      <c r="C330" s="16" t="s">
        <v>1006</v>
      </c>
      <c r="D330" s="16" t="s">
        <v>1047</v>
      </c>
      <c r="E330" s="16" t="s">
        <v>1021</v>
      </c>
      <c r="F330" s="16" t="s">
        <v>1022</v>
      </c>
      <c r="G330" s="16" t="s">
        <v>1024</v>
      </c>
      <c r="H330" s="21" t="s">
        <v>406</v>
      </c>
      <c r="I330" s="18" t="str">
        <f>RIGHT(H330,4)</f>
        <v>- 71</v>
      </c>
      <c r="J330" s="22" t="s">
        <v>331</v>
      </c>
      <c r="K330" s="23">
        <v>61398005</v>
      </c>
      <c r="L330" s="23"/>
      <c r="M330" s="126">
        <f>+Tabla13[[#This Row],[PF INICIAL]]+Tabla13[[#This Row],[AJUSTE 1]]</f>
        <v>61398005</v>
      </c>
    </row>
    <row r="331" spans="2:13" s="13" customFormat="1" ht="15.75" customHeight="1" x14ac:dyDescent="0.25">
      <c r="B331" s="24"/>
      <c r="C331" s="24"/>
      <c r="D331" s="24"/>
      <c r="E331" s="24"/>
      <c r="F331" s="24"/>
      <c r="G331" s="24"/>
      <c r="H331" s="17" t="s">
        <v>407</v>
      </c>
      <c r="I331" s="18"/>
      <c r="J331" s="19" t="s">
        <v>14</v>
      </c>
      <c r="K331" s="156">
        <f>+K332+K335</f>
        <v>20684140140</v>
      </c>
      <c r="L331" s="156">
        <f t="shared" ref="L331" si="191">+L332+L335</f>
        <v>0</v>
      </c>
      <c r="M331" s="156">
        <f t="shared" ref="M331" si="192">+M332+M335</f>
        <v>20684140140</v>
      </c>
    </row>
    <row r="332" spans="2:13" ht="15" customHeight="1" x14ac:dyDescent="0.2">
      <c r="B332" s="16"/>
      <c r="C332" s="16"/>
      <c r="D332" s="16"/>
      <c r="E332" s="16"/>
      <c r="F332" s="16"/>
      <c r="G332" s="16"/>
      <c r="H332" s="21" t="s">
        <v>408</v>
      </c>
      <c r="I332" s="18"/>
      <c r="J332" s="22" t="s">
        <v>335</v>
      </c>
      <c r="K332" s="157">
        <f>+K333+K334</f>
        <v>115400854</v>
      </c>
      <c r="L332" s="157">
        <f t="shared" ref="L332" si="193">+L333+L334</f>
        <v>0</v>
      </c>
      <c r="M332" s="157">
        <f t="shared" ref="M332" si="194">+M333+M334</f>
        <v>115400854</v>
      </c>
    </row>
    <row r="333" spans="2:13" ht="15" customHeight="1" x14ac:dyDescent="0.2">
      <c r="B333" s="16" t="s">
        <v>1002</v>
      </c>
      <c r="C333" s="16" t="s">
        <v>1006</v>
      </c>
      <c r="D333" s="16" t="s">
        <v>1047</v>
      </c>
      <c r="E333" s="16" t="s">
        <v>1021</v>
      </c>
      <c r="F333" s="16" t="s">
        <v>1022</v>
      </c>
      <c r="G333" s="16" t="s">
        <v>1025</v>
      </c>
      <c r="H333" s="21" t="s">
        <v>409</v>
      </c>
      <c r="I333" s="18" t="str">
        <f>RIGHT(H333,4)</f>
        <v>- 72</v>
      </c>
      <c r="J333" s="22" t="s">
        <v>335</v>
      </c>
      <c r="K333" s="23">
        <v>34815216</v>
      </c>
      <c r="L333" s="23"/>
      <c r="M333" s="126">
        <f>+Tabla13[[#This Row],[PF INICIAL]]+Tabla13[[#This Row],[AJUSTE 1]]</f>
        <v>34815216</v>
      </c>
    </row>
    <row r="334" spans="2:13" ht="15" customHeight="1" x14ac:dyDescent="0.2">
      <c r="B334" s="16" t="s">
        <v>1002</v>
      </c>
      <c r="C334" s="16" t="s">
        <v>1006</v>
      </c>
      <c r="D334" s="16" t="s">
        <v>1047</v>
      </c>
      <c r="E334" s="16" t="s">
        <v>1021</v>
      </c>
      <c r="F334" s="16" t="s">
        <v>1022</v>
      </c>
      <c r="G334" s="16" t="s">
        <v>1025</v>
      </c>
      <c r="H334" s="21" t="s">
        <v>410</v>
      </c>
      <c r="I334" s="18" t="str">
        <f>RIGHT(H334,4)</f>
        <v xml:space="preserve"> 72A</v>
      </c>
      <c r="J334" s="22" t="s">
        <v>335</v>
      </c>
      <c r="K334" s="23">
        <v>80585638</v>
      </c>
      <c r="L334" s="23"/>
      <c r="M334" s="126">
        <f>+Tabla13[[#This Row],[PF INICIAL]]+Tabla13[[#This Row],[AJUSTE 1]]</f>
        <v>80585638</v>
      </c>
    </row>
    <row r="335" spans="2:13" ht="15" customHeight="1" x14ac:dyDescent="0.2">
      <c r="B335" s="16"/>
      <c r="C335" s="16"/>
      <c r="D335" s="16"/>
      <c r="E335" s="16"/>
      <c r="F335" s="16"/>
      <c r="G335" s="16"/>
      <c r="H335" s="21" t="s">
        <v>411</v>
      </c>
      <c r="I335" s="18"/>
      <c r="J335" s="22" t="s">
        <v>72</v>
      </c>
      <c r="K335" s="157">
        <f>+K336</f>
        <v>20568739286</v>
      </c>
      <c r="L335" s="157">
        <f t="shared" ref="L335:M335" si="195">+L336</f>
        <v>0</v>
      </c>
      <c r="M335" s="157">
        <f t="shared" si="195"/>
        <v>20568739286</v>
      </c>
    </row>
    <row r="336" spans="2:13" ht="30" customHeight="1" x14ac:dyDescent="0.2">
      <c r="B336" s="16" t="s">
        <v>1002</v>
      </c>
      <c r="C336" s="16" t="s">
        <v>1006</v>
      </c>
      <c r="D336" s="16" t="s">
        <v>1047</v>
      </c>
      <c r="E336" s="16" t="s">
        <v>1016</v>
      </c>
      <c r="F336" s="16" t="s">
        <v>1022</v>
      </c>
      <c r="G336" s="16" t="s">
        <v>1025</v>
      </c>
      <c r="H336" s="21" t="s">
        <v>412</v>
      </c>
      <c r="I336" s="18" t="str">
        <f>RIGHT(H336,4)</f>
        <v>- 84</v>
      </c>
      <c r="J336" s="22" t="s">
        <v>790</v>
      </c>
      <c r="K336" s="23">
        <v>20568739286</v>
      </c>
      <c r="L336" s="23"/>
      <c r="M336" s="126">
        <f>+Tabla13[[#This Row],[PF INICIAL]]+Tabla13[[#This Row],[AJUSTE 1]]</f>
        <v>20568739286</v>
      </c>
    </row>
    <row r="337" spans="2:13" s="13" customFormat="1" ht="15.75" customHeight="1" x14ac:dyDescent="0.25">
      <c r="B337" s="24"/>
      <c r="C337" s="24"/>
      <c r="D337" s="24"/>
      <c r="E337" s="24"/>
      <c r="F337" s="24"/>
      <c r="G337" s="24"/>
      <c r="H337" s="17" t="s">
        <v>413</v>
      </c>
      <c r="I337" s="18"/>
      <c r="J337" s="19" t="s">
        <v>86</v>
      </c>
      <c r="K337" s="156">
        <f>+K338+K341+K345</f>
        <v>866337501</v>
      </c>
      <c r="L337" s="156">
        <f t="shared" ref="L337" si="196">+L338+L341+L345</f>
        <v>0</v>
      </c>
      <c r="M337" s="156">
        <f t="shared" ref="M337" si="197">+M338+M341+M345</f>
        <v>866337501</v>
      </c>
    </row>
    <row r="338" spans="2:13" s="13" customFormat="1" ht="15.75" customHeight="1" x14ac:dyDescent="0.25">
      <c r="B338" s="24"/>
      <c r="C338" s="24"/>
      <c r="D338" s="24"/>
      <c r="E338" s="24"/>
      <c r="F338" s="24"/>
      <c r="G338" s="24"/>
      <c r="H338" s="17" t="s">
        <v>414</v>
      </c>
      <c r="I338" s="18"/>
      <c r="J338" s="19" t="s">
        <v>355</v>
      </c>
      <c r="K338" s="156">
        <f>+K339</f>
        <v>184320937</v>
      </c>
      <c r="L338" s="156">
        <f t="shared" ref="L338:M339" si="198">+L339</f>
        <v>0</v>
      </c>
      <c r="M338" s="156">
        <f t="shared" si="198"/>
        <v>184320937</v>
      </c>
    </row>
    <row r="339" spans="2:13" ht="15" customHeight="1" x14ac:dyDescent="0.2">
      <c r="B339" s="16"/>
      <c r="C339" s="16"/>
      <c r="D339" s="16"/>
      <c r="E339" s="16"/>
      <c r="F339" s="16"/>
      <c r="G339" s="16"/>
      <c r="H339" s="21" t="s">
        <v>415</v>
      </c>
      <c r="I339" s="18"/>
      <c r="J339" s="22" t="s">
        <v>416</v>
      </c>
      <c r="K339" s="157">
        <f>+K340</f>
        <v>184320937</v>
      </c>
      <c r="L339" s="157">
        <f t="shared" si="198"/>
        <v>0</v>
      </c>
      <c r="M339" s="157">
        <f t="shared" si="198"/>
        <v>184320937</v>
      </c>
    </row>
    <row r="340" spans="2:13" ht="15" customHeight="1" x14ac:dyDescent="0.2">
      <c r="B340" s="16" t="s">
        <v>1002</v>
      </c>
      <c r="C340" s="16" t="s">
        <v>1006</v>
      </c>
      <c r="D340" s="16" t="s">
        <v>1047</v>
      </c>
      <c r="E340" s="16" t="s">
        <v>1021</v>
      </c>
      <c r="F340" s="16" t="s">
        <v>1022</v>
      </c>
      <c r="G340" s="16" t="s">
        <v>1025</v>
      </c>
      <c r="H340" s="21" t="s">
        <v>417</v>
      </c>
      <c r="I340" s="18" t="str">
        <f>RIGHT(H340,4)</f>
        <v>- 41</v>
      </c>
      <c r="J340" s="22" t="s">
        <v>416</v>
      </c>
      <c r="K340" s="23">
        <v>184320937</v>
      </c>
      <c r="L340" s="23"/>
      <c r="M340" s="126">
        <f>+Tabla13[[#This Row],[PF INICIAL]]+Tabla13[[#This Row],[AJUSTE 1]]</f>
        <v>184320937</v>
      </c>
    </row>
    <row r="341" spans="2:13" s="13" customFormat="1" ht="15.75" customHeight="1" x14ac:dyDescent="0.25">
      <c r="B341" s="24"/>
      <c r="C341" s="24"/>
      <c r="D341" s="24"/>
      <c r="E341" s="24"/>
      <c r="F341" s="24"/>
      <c r="G341" s="24"/>
      <c r="H341" s="17" t="s">
        <v>418</v>
      </c>
      <c r="I341" s="18"/>
      <c r="J341" s="19" t="s">
        <v>164</v>
      </c>
      <c r="K341" s="156">
        <f>+K342</f>
        <v>0</v>
      </c>
      <c r="L341" s="156">
        <f t="shared" ref="L341:M343" si="199">+L342</f>
        <v>0</v>
      </c>
      <c r="M341" s="156">
        <f t="shared" si="199"/>
        <v>0</v>
      </c>
    </row>
    <row r="342" spans="2:13" ht="15" customHeight="1" x14ac:dyDescent="0.2">
      <c r="B342" s="16"/>
      <c r="C342" s="16"/>
      <c r="D342" s="16"/>
      <c r="E342" s="16"/>
      <c r="F342" s="16"/>
      <c r="G342" s="16"/>
      <c r="H342" s="21" t="s">
        <v>419</v>
      </c>
      <c r="I342" s="18"/>
      <c r="J342" s="22" t="s">
        <v>181</v>
      </c>
      <c r="K342" s="157">
        <f>+K343</f>
        <v>0</v>
      </c>
      <c r="L342" s="157">
        <f t="shared" si="199"/>
        <v>0</v>
      </c>
      <c r="M342" s="157">
        <f t="shared" si="199"/>
        <v>0</v>
      </c>
    </row>
    <row r="343" spans="2:13" ht="15" customHeight="1" x14ac:dyDescent="0.2">
      <c r="B343" s="16"/>
      <c r="C343" s="16"/>
      <c r="D343" s="16"/>
      <c r="E343" s="16"/>
      <c r="F343" s="16"/>
      <c r="G343" s="16"/>
      <c r="H343" s="21" t="s">
        <v>420</v>
      </c>
      <c r="I343" s="18"/>
      <c r="J343" s="22" t="s">
        <v>421</v>
      </c>
      <c r="K343" s="157">
        <f>+K344</f>
        <v>0</v>
      </c>
      <c r="L343" s="157">
        <f t="shared" si="199"/>
        <v>0</v>
      </c>
      <c r="M343" s="157">
        <f t="shared" si="199"/>
        <v>0</v>
      </c>
    </row>
    <row r="344" spans="2:13" ht="15" customHeight="1" x14ac:dyDescent="0.2">
      <c r="B344" s="16" t="s">
        <v>1002</v>
      </c>
      <c r="C344" s="16" t="s">
        <v>1006</v>
      </c>
      <c r="D344" s="16" t="s">
        <v>1047</v>
      </c>
      <c r="E344" s="16" t="s">
        <v>1021</v>
      </c>
      <c r="F344" s="16" t="s">
        <v>1022</v>
      </c>
      <c r="G344" s="16" t="s">
        <v>1025</v>
      </c>
      <c r="H344" s="21" t="s">
        <v>422</v>
      </c>
      <c r="I344" s="18" t="str">
        <f>RIGHT(H344,4)</f>
        <v xml:space="preserve"> 106</v>
      </c>
      <c r="J344" s="22" t="s">
        <v>423</v>
      </c>
      <c r="K344" s="23">
        <v>0</v>
      </c>
      <c r="L344" s="23"/>
      <c r="M344" s="23"/>
    </row>
    <row r="345" spans="2:13" s="13" customFormat="1" ht="15.75" customHeight="1" x14ac:dyDescent="0.25">
      <c r="B345" s="24"/>
      <c r="C345" s="24"/>
      <c r="D345" s="24"/>
      <c r="E345" s="24"/>
      <c r="F345" s="24"/>
      <c r="G345" s="24"/>
      <c r="H345" s="17" t="s">
        <v>424</v>
      </c>
      <c r="I345" s="18"/>
      <c r="J345" s="19" t="s">
        <v>195</v>
      </c>
      <c r="K345" s="156">
        <f>+K346</f>
        <v>682016564</v>
      </c>
      <c r="L345" s="156">
        <f t="shared" ref="L345:M345" si="200">+L346</f>
        <v>0</v>
      </c>
      <c r="M345" s="156">
        <f t="shared" si="200"/>
        <v>682016564</v>
      </c>
    </row>
    <row r="346" spans="2:13" ht="15.75" customHeight="1" x14ac:dyDescent="0.25">
      <c r="B346" s="16"/>
      <c r="C346" s="16"/>
      <c r="D346" s="16"/>
      <c r="E346" s="16"/>
      <c r="F346" s="16"/>
      <c r="G346" s="16"/>
      <c r="H346" s="17" t="s">
        <v>425</v>
      </c>
      <c r="I346" s="18"/>
      <c r="J346" s="19" t="s">
        <v>362</v>
      </c>
      <c r="K346" s="156">
        <f>+K347+K350</f>
        <v>682016564</v>
      </c>
      <c r="L346" s="156">
        <f t="shared" ref="L346" si="201">+L347+L350</f>
        <v>0</v>
      </c>
      <c r="M346" s="156">
        <f t="shared" ref="M346" si="202">+M347+M350</f>
        <v>682016564</v>
      </c>
    </row>
    <row r="347" spans="2:13" ht="15" customHeight="1" x14ac:dyDescent="0.2">
      <c r="B347" s="16"/>
      <c r="C347" s="16"/>
      <c r="D347" s="16"/>
      <c r="E347" s="16"/>
      <c r="F347" s="16"/>
      <c r="G347" s="16"/>
      <c r="H347" s="21" t="s">
        <v>426</v>
      </c>
      <c r="I347" s="18"/>
      <c r="J347" s="22" t="s">
        <v>364</v>
      </c>
      <c r="K347" s="157">
        <f>+K348+K349</f>
        <v>146768146</v>
      </c>
      <c r="L347" s="157">
        <f t="shared" ref="L347" si="203">+L348+L349</f>
        <v>0</v>
      </c>
      <c r="M347" s="157">
        <f t="shared" ref="M347" si="204">+M348+M349</f>
        <v>146768146</v>
      </c>
    </row>
    <row r="348" spans="2:13" ht="15" customHeight="1" x14ac:dyDescent="0.2">
      <c r="B348" s="16" t="s">
        <v>1002</v>
      </c>
      <c r="C348" s="16" t="s">
        <v>1006</v>
      </c>
      <c r="D348" s="16" t="s">
        <v>1047</v>
      </c>
      <c r="E348" s="16" t="s">
        <v>1021</v>
      </c>
      <c r="F348" s="16" t="s">
        <v>1022</v>
      </c>
      <c r="G348" s="16" t="s">
        <v>1025</v>
      </c>
      <c r="H348" s="21" t="s">
        <v>427</v>
      </c>
      <c r="I348" s="18" t="str">
        <f>RIGHT(H348,4)</f>
        <v xml:space="preserve"> 103</v>
      </c>
      <c r="J348" s="22" t="s">
        <v>364</v>
      </c>
      <c r="K348" s="23">
        <v>4236634</v>
      </c>
      <c r="L348" s="23"/>
      <c r="M348" s="126">
        <f>+Tabla13[[#This Row],[PF INICIAL]]+Tabla13[[#This Row],[AJUSTE 1]]</f>
        <v>4236634</v>
      </c>
    </row>
    <row r="349" spans="2:13" ht="15" customHeight="1" x14ac:dyDescent="0.2">
      <c r="B349" s="16" t="s">
        <v>1002</v>
      </c>
      <c r="C349" s="16" t="s">
        <v>1006</v>
      </c>
      <c r="D349" s="16" t="s">
        <v>1047</v>
      </c>
      <c r="E349" s="16" t="s">
        <v>1021</v>
      </c>
      <c r="F349" s="16" t="s">
        <v>1022</v>
      </c>
      <c r="G349" s="16" t="s">
        <v>1025</v>
      </c>
      <c r="H349" s="21" t="s">
        <v>428</v>
      </c>
      <c r="I349" s="18" t="str">
        <f>RIGHT(H349,4)</f>
        <v>- 71</v>
      </c>
      <c r="J349" s="22" t="s">
        <v>364</v>
      </c>
      <c r="K349" s="23">
        <v>142531512</v>
      </c>
      <c r="L349" s="23"/>
      <c r="M349" s="126">
        <f>+Tabla13[[#This Row],[PF INICIAL]]+Tabla13[[#This Row],[AJUSTE 1]]</f>
        <v>142531512</v>
      </c>
    </row>
    <row r="350" spans="2:13" ht="30" customHeight="1" x14ac:dyDescent="0.2">
      <c r="B350" s="16"/>
      <c r="C350" s="16"/>
      <c r="D350" s="16"/>
      <c r="E350" s="16"/>
      <c r="F350" s="16"/>
      <c r="G350" s="16"/>
      <c r="H350" s="21" t="s">
        <v>429</v>
      </c>
      <c r="I350" s="18"/>
      <c r="J350" s="22" t="s">
        <v>367</v>
      </c>
      <c r="K350" s="157">
        <f>+K351</f>
        <v>535248418</v>
      </c>
      <c r="L350" s="157">
        <f t="shared" ref="L350:M350" si="205">+L351</f>
        <v>0</v>
      </c>
      <c r="M350" s="157">
        <f t="shared" si="205"/>
        <v>535248418</v>
      </c>
    </row>
    <row r="351" spans="2:13" ht="30" customHeight="1" x14ac:dyDescent="0.2">
      <c r="B351" s="16" t="s">
        <v>1002</v>
      </c>
      <c r="C351" s="16" t="s">
        <v>1006</v>
      </c>
      <c r="D351" s="16" t="s">
        <v>1047</v>
      </c>
      <c r="E351" s="16" t="s">
        <v>1021</v>
      </c>
      <c r="F351" s="16" t="s">
        <v>1022</v>
      </c>
      <c r="G351" s="16" t="s">
        <v>1025</v>
      </c>
      <c r="H351" s="21" t="s">
        <v>430</v>
      </c>
      <c r="I351" s="18" t="str">
        <f>RIGHT(H351,4)</f>
        <v xml:space="preserve"> 70A</v>
      </c>
      <c r="J351" s="22" t="s">
        <v>367</v>
      </c>
      <c r="K351" s="23">
        <v>535248418</v>
      </c>
      <c r="L351" s="23"/>
      <c r="M351" s="126">
        <f>+Tabla13[[#This Row],[PF INICIAL]]+Tabla13[[#This Row],[AJUSTE 1]]</f>
        <v>535248418</v>
      </c>
    </row>
    <row r="352" spans="2:13" s="13" customFormat="1" ht="15.75" customHeight="1" x14ac:dyDescent="0.25">
      <c r="B352" s="24"/>
      <c r="C352" s="24"/>
      <c r="D352" s="24"/>
      <c r="E352" s="24"/>
      <c r="F352" s="24"/>
      <c r="G352" s="24"/>
      <c r="H352" s="17" t="s">
        <v>431</v>
      </c>
      <c r="I352" s="18"/>
      <c r="J352" s="19" t="s">
        <v>225</v>
      </c>
      <c r="K352" s="156">
        <f>+K353+K361</f>
        <v>0</v>
      </c>
      <c r="L352" s="156">
        <f t="shared" ref="L352" si="206">+L353+L361</f>
        <v>0</v>
      </c>
      <c r="M352" s="156">
        <f t="shared" ref="M352" si="207">+M353+M361</f>
        <v>0</v>
      </c>
    </row>
    <row r="353" spans="2:13" s="13" customFormat="1" ht="15.75" customHeight="1" x14ac:dyDescent="0.25">
      <c r="B353" s="24"/>
      <c r="C353" s="24"/>
      <c r="D353" s="24"/>
      <c r="E353" s="24"/>
      <c r="F353" s="24"/>
      <c r="G353" s="24"/>
      <c r="H353" s="17" t="s">
        <v>432</v>
      </c>
      <c r="I353" s="18"/>
      <c r="J353" s="19" t="s">
        <v>239</v>
      </c>
      <c r="K353" s="156">
        <f>+K354</f>
        <v>0</v>
      </c>
      <c r="L353" s="156">
        <f t="shared" ref="L353:M353" si="208">+L354</f>
        <v>0</v>
      </c>
      <c r="M353" s="156">
        <f t="shared" si="208"/>
        <v>0</v>
      </c>
    </row>
    <row r="354" spans="2:13" s="13" customFormat="1" ht="15.75" customHeight="1" x14ac:dyDescent="0.25">
      <c r="B354" s="24"/>
      <c r="C354" s="24"/>
      <c r="D354" s="24"/>
      <c r="E354" s="24"/>
      <c r="F354" s="24"/>
      <c r="G354" s="24"/>
      <c r="H354" s="17" t="s">
        <v>433</v>
      </c>
      <c r="I354" s="18"/>
      <c r="J354" s="19" t="s">
        <v>241</v>
      </c>
      <c r="K354" s="156">
        <f>SUM(K355:K360)</f>
        <v>0</v>
      </c>
      <c r="L354" s="156">
        <f t="shared" ref="L354" si="209">SUM(L355:L360)</f>
        <v>0</v>
      </c>
      <c r="M354" s="156">
        <f t="shared" ref="M354" si="210">SUM(M355:M360)</f>
        <v>0</v>
      </c>
    </row>
    <row r="355" spans="2:13" ht="15" customHeight="1" x14ac:dyDescent="0.2">
      <c r="B355" s="16" t="s">
        <v>1002</v>
      </c>
      <c r="C355" s="16" t="s">
        <v>1006</v>
      </c>
      <c r="D355" s="16" t="s">
        <v>1047</v>
      </c>
      <c r="E355" s="16" t="s">
        <v>1021</v>
      </c>
      <c r="F355" s="16" t="s">
        <v>1023</v>
      </c>
      <c r="G355" s="16" t="s">
        <v>1028</v>
      </c>
      <c r="H355" s="21" t="s">
        <v>730</v>
      </c>
      <c r="I355" s="18" t="str">
        <f t="shared" ref="I355:I360" si="211">RIGHT(H355,4)</f>
        <v>106F</v>
      </c>
      <c r="J355" s="22" t="s">
        <v>241</v>
      </c>
      <c r="K355" s="23"/>
      <c r="L355" s="23"/>
      <c r="M355" s="126">
        <f>+Tabla13[[#This Row],[PF INICIAL]]+Tabla13[[#This Row],[AJUSTE 1]]</f>
        <v>0</v>
      </c>
    </row>
    <row r="356" spans="2:13" ht="15" customHeight="1" x14ac:dyDescent="0.2">
      <c r="B356" s="16" t="s">
        <v>1002</v>
      </c>
      <c r="C356" s="16" t="s">
        <v>1006</v>
      </c>
      <c r="D356" s="16" t="s">
        <v>1047</v>
      </c>
      <c r="E356" s="16" t="s">
        <v>1021</v>
      </c>
      <c r="F356" s="16" t="s">
        <v>1023</v>
      </c>
      <c r="G356" s="16" t="s">
        <v>1028</v>
      </c>
      <c r="H356" s="21" t="s">
        <v>731</v>
      </c>
      <c r="I356" s="18" t="str">
        <f t="shared" si="211"/>
        <v>150F</v>
      </c>
      <c r="J356" s="22" t="s">
        <v>241</v>
      </c>
      <c r="K356" s="23"/>
      <c r="L356" s="23"/>
      <c r="M356" s="126">
        <f>+Tabla13[[#This Row],[PF INICIAL]]+Tabla13[[#This Row],[AJUSTE 1]]</f>
        <v>0</v>
      </c>
    </row>
    <row r="357" spans="2:13" ht="15" customHeight="1" x14ac:dyDescent="0.2">
      <c r="B357" s="16" t="s">
        <v>1002</v>
      </c>
      <c r="C357" s="16" t="s">
        <v>1006</v>
      </c>
      <c r="D357" s="16" t="s">
        <v>1047</v>
      </c>
      <c r="E357" s="16" t="s">
        <v>1021</v>
      </c>
      <c r="F357" s="16" t="s">
        <v>1023</v>
      </c>
      <c r="G357" s="16" t="s">
        <v>1028</v>
      </c>
      <c r="H357" s="21" t="s">
        <v>732</v>
      </c>
      <c r="I357" s="18" t="str">
        <f t="shared" si="211"/>
        <v xml:space="preserve"> 16F</v>
      </c>
      <c r="J357" s="22" t="s">
        <v>241</v>
      </c>
      <c r="K357" s="23"/>
      <c r="L357" s="23"/>
      <c r="M357" s="126">
        <f>+Tabla13[[#This Row],[PF INICIAL]]+Tabla13[[#This Row],[AJUSTE 1]]</f>
        <v>0</v>
      </c>
    </row>
    <row r="358" spans="2:13" ht="15" customHeight="1" x14ac:dyDescent="0.2">
      <c r="B358" s="16" t="s">
        <v>1002</v>
      </c>
      <c r="C358" s="16" t="s">
        <v>1006</v>
      </c>
      <c r="D358" s="16" t="s">
        <v>1047</v>
      </c>
      <c r="E358" s="16" t="s">
        <v>1021</v>
      </c>
      <c r="F358" s="16" t="s">
        <v>1023</v>
      </c>
      <c r="G358" s="16" t="s">
        <v>1028</v>
      </c>
      <c r="H358" s="21" t="s">
        <v>733</v>
      </c>
      <c r="I358" s="18" t="str">
        <f t="shared" si="211"/>
        <v xml:space="preserve"> 29F</v>
      </c>
      <c r="J358" s="22" t="s">
        <v>241</v>
      </c>
      <c r="K358" s="23"/>
      <c r="L358" s="23"/>
      <c r="M358" s="126">
        <f>+Tabla13[[#This Row],[PF INICIAL]]+Tabla13[[#This Row],[AJUSTE 1]]</f>
        <v>0</v>
      </c>
    </row>
    <row r="359" spans="2:13" ht="15" customHeight="1" x14ac:dyDescent="0.2">
      <c r="B359" s="16" t="s">
        <v>1002</v>
      </c>
      <c r="C359" s="16" t="s">
        <v>1006</v>
      </c>
      <c r="D359" s="16" t="s">
        <v>1047</v>
      </c>
      <c r="E359" s="16" t="s">
        <v>1021</v>
      </c>
      <c r="F359" s="16" t="s">
        <v>1023</v>
      </c>
      <c r="G359" s="16" t="s">
        <v>1028</v>
      </c>
      <c r="H359" s="21" t="s">
        <v>734</v>
      </c>
      <c r="I359" s="18" t="str">
        <f t="shared" si="211"/>
        <v xml:space="preserve"> 41F</v>
      </c>
      <c r="J359" s="22" t="s">
        <v>241</v>
      </c>
      <c r="K359" s="23"/>
      <c r="L359" s="23"/>
      <c r="M359" s="126">
        <f>+Tabla13[[#This Row],[PF INICIAL]]+Tabla13[[#This Row],[AJUSTE 1]]</f>
        <v>0</v>
      </c>
    </row>
    <row r="360" spans="2:13" ht="15" customHeight="1" x14ac:dyDescent="0.2">
      <c r="B360" s="16" t="s">
        <v>1002</v>
      </c>
      <c r="C360" s="16" t="s">
        <v>1006</v>
      </c>
      <c r="D360" s="16" t="s">
        <v>1047</v>
      </c>
      <c r="E360" s="16" t="s">
        <v>1021</v>
      </c>
      <c r="F360" s="16" t="s">
        <v>1023</v>
      </c>
      <c r="G360" s="16" t="s">
        <v>1028</v>
      </c>
      <c r="H360" s="21" t="s">
        <v>735</v>
      </c>
      <c r="I360" s="18" t="str">
        <f t="shared" si="211"/>
        <v xml:space="preserve"> 84F</v>
      </c>
      <c r="J360" s="22" t="s">
        <v>241</v>
      </c>
      <c r="K360" s="23"/>
      <c r="L360" s="23"/>
      <c r="M360" s="126">
        <f>+Tabla13[[#This Row],[PF INICIAL]]+Tabla13[[#This Row],[AJUSTE 1]]</f>
        <v>0</v>
      </c>
    </row>
    <row r="361" spans="2:13" s="13" customFormat="1" ht="15.75" customHeight="1" x14ac:dyDescent="0.25">
      <c r="B361" s="24"/>
      <c r="C361" s="24"/>
      <c r="D361" s="24"/>
      <c r="E361" s="24"/>
      <c r="F361" s="24"/>
      <c r="G361" s="24"/>
      <c r="H361" s="17" t="s">
        <v>434</v>
      </c>
      <c r="I361" s="18"/>
      <c r="J361" s="19" t="s">
        <v>267</v>
      </c>
      <c r="K361" s="156">
        <f>+K362</f>
        <v>0</v>
      </c>
      <c r="L361" s="156">
        <f t="shared" ref="L361:M362" si="212">+L362</f>
        <v>0</v>
      </c>
      <c r="M361" s="156">
        <f t="shared" si="212"/>
        <v>0</v>
      </c>
    </row>
    <row r="362" spans="2:13" s="13" customFormat="1" ht="15.75" customHeight="1" x14ac:dyDescent="0.25">
      <c r="B362" s="24"/>
      <c r="C362" s="24"/>
      <c r="D362" s="24"/>
      <c r="E362" s="24"/>
      <c r="F362" s="24"/>
      <c r="G362" s="24"/>
      <c r="H362" s="17" t="s">
        <v>435</v>
      </c>
      <c r="I362" s="18"/>
      <c r="J362" s="19" t="s">
        <v>271</v>
      </c>
      <c r="K362" s="156">
        <f>+K363</f>
        <v>0</v>
      </c>
      <c r="L362" s="156">
        <f t="shared" si="212"/>
        <v>0</v>
      </c>
      <c r="M362" s="156">
        <f t="shared" si="212"/>
        <v>0</v>
      </c>
    </row>
    <row r="363" spans="2:13" ht="15" customHeight="1" x14ac:dyDescent="0.2">
      <c r="B363" s="16" t="s">
        <v>1002</v>
      </c>
      <c r="C363" s="16" t="s">
        <v>1006</v>
      </c>
      <c r="D363" s="16" t="s">
        <v>1047</v>
      </c>
      <c r="E363" s="16" t="s">
        <v>1021</v>
      </c>
      <c r="F363" s="16" t="s">
        <v>1023</v>
      </c>
      <c r="G363" s="16" t="s">
        <v>1030</v>
      </c>
      <c r="H363" s="21" t="s">
        <v>736</v>
      </c>
      <c r="I363" s="18" t="str">
        <f>RIGHT(H363,4)</f>
        <v>41RB</v>
      </c>
      <c r="J363" s="22" t="s">
        <v>271</v>
      </c>
      <c r="K363" s="23"/>
      <c r="L363" s="23"/>
      <c r="M363" s="126">
        <f>+Tabla13[[#This Row],[PF INICIAL]]+Tabla13[[#This Row],[AJUSTE 1]]</f>
        <v>0</v>
      </c>
    </row>
    <row r="364" spans="2:13" ht="15.75" customHeight="1" x14ac:dyDescent="0.25">
      <c r="B364" s="16"/>
      <c r="C364" s="16"/>
      <c r="D364" s="16"/>
      <c r="E364" s="16"/>
      <c r="F364" s="16"/>
      <c r="G364" s="16"/>
      <c r="H364" s="41" t="s">
        <v>791</v>
      </c>
      <c r="I364" s="42"/>
      <c r="J364" s="43" t="s">
        <v>792</v>
      </c>
      <c r="K364" s="156">
        <f>+K365</f>
        <v>20979541144</v>
      </c>
      <c r="L364" s="156">
        <f t="shared" ref="L364:M364" si="213">+L365</f>
        <v>0</v>
      </c>
      <c r="M364" s="156">
        <f t="shared" si="213"/>
        <v>20979541144</v>
      </c>
    </row>
    <row r="365" spans="2:13" s="13" customFormat="1" ht="15.75" customHeight="1" x14ac:dyDescent="0.25">
      <c r="B365" s="24"/>
      <c r="C365" s="24"/>
      <c r="D365" s="24"/>
      <c r="E365" s="24"/>
      <c r="F365" s="24"/>
      <c r="G365" s="24"/>
      <c r="H365" s="17" t="s">
        <v>436</v>
      </c>
      <c r="I365" s="18"/>
      <c r="J365" s="19" t="s">
        <v>1</v>
      </c>
      <c r="K365" s="156">
        <f>+K366+K380</f>
        <v>20979541144</v>
      </c>
      <c r="L365" s="156">
        <f t="shared" ref="L365" si="214">+L366+L380</f>
        <v>0</v>
      </c>
      <c r="M365" s="156">
        <f t="shared" ref="M365" si="215">+M366+M380</f>
        <v>20979541144</v>
      </c>
    </row>
    <row r="366" spans="2:13" s="13" customFormat="1" ht="15.75" customHeight="1" x14ac:dyDescent="0.25">
      <c r="B366" s="24"/>
      <c r="C366" s="24"/>
      <c r="D366" s="24"/>
      <c r="E366" s="24"/>
      <c r="F366" s="24"/>
      <c r="G366" s="24"/>
      <c r="H366" s="17" t="s">
        <v>437</v>
      </c>
      <c r="I366" s="18"/>
      <c r="J366" s="19" t="s">
        <v>3</v>
      </c>
      <c r="K366" s="156">
        <f>+K367</f>
        <v>20679541144</v>
      </c>
      <c r="L366" s="156">
        <f t="shared" ref="L366:M367" si="216">+L367</f>
        <v>0</v>
      </c>
      <c r="M366" s="156">
        <f t="shared" si="216"/>
        <v>20679541144</v>
      </c>
    </row>
    <row r="367" spans="2:13" s="13" customFormat="1" ht="15.75" customHeight="1" x14ac:dyDescent="0.25">
      <c r="B367" s="24"/>
      <c r="C367" s="24"/>
      <c r="D367" s="24"/>
      <c r="E367" s="24"/>
      <c r="F367" s="24"/>
      <c r="G367" s="24"/>
      <c r="H367" s="17" t="s">
        <v>438</v>
      </c>
      <c r="I367" s="18"/>
      <c r="J367" s="19" t="s">
        <v>86</v>
      </c>
      <c r="K367" s="156">
        <f>+K368</f>
        <v>20679541144</v>
      </c>
      <c r="L367" s="156">
        <f t="shared" si="216"/>
        <v>0</v>
      </c>
      <c r="M367" s="156">
        <f t="shared" si="216"/>
        <v>20679541144</v>
      </c>
    </row>
    <row r="368" spans="2:13" s="13" customFormat="1" ht="15.75" customHeight="1" x14ac:dyDescent="0.25">
      <c r="B368" s="24"/>
      <c r="C368" s="24"/>
      <c r="D368" s="24"/>
      <c r="E368" s="24"/>
      <c r="F368" s="24"/>
      <c r="G368" s="24"/>
      <c r="H368" s="17" t="s">
        <v>439</v>
      </c>
      <c r="I368" s="18"/>
      <c r="J368" s="19" t="s">
        <v>164</v>
      </c>
      <c r="K368" s="156">
        <f>+K369+K373</f>
        <v>20679541144</v>
      </c>
      <c r="L368" s="156">
        <f t="shared" ref="L368" si="217">+L369+L373</f>
        <v>0</v>
      </c>
      <c r="M368" s="156">
        <f t="shared" ref="M368" si="218">+M369+M373</f>
        <v>20679541144</v>
      </c>
    </row>
    <row r="369" spans="2:13" ht="15" customHeight="1" x14ac:dyDescent="0.2">
      <c r="B369" s="16"/>
      <c r="C369" s="16"/>
      <c r="D369" s="16"/>
      <c r="E369" s="16"/>
      <c r="F369" s="16"/>
      <c r="G369" s="16"/>
      <c r="H369" s="21" t="s">
        <v>440</v>
      </c>
      <c r="I369" s="18"/>
      <c r="J369" s="22" t="s">
        <v>166</v>
      </c>
      <c r="K369" s="157">
        <f>+K370</f>
        <v>18824497618</v>
      </c>
      <c r="L369" s="157">
        <f t="shared" ref="L369:M371" si="219">+L370</f>
        <v>0</v>
      </c>
      <c r="M369" s="157">
        <f t="shared" si="219"/>
        <v>18824497618</v>
      </c>
    </row>
    <row r="370" spans="2:13" ht="15" customHeight="1" x14ac:dyDescent="0.2">
      <c r="B370" s="16"/>
      <c r="C370" s="16"/>
      <c r="D370" s="16"/>
      <c r="E370" s="16"/>
      <c r="F370" s="16"/>
      <c r="G370" s="16"/>
      <c r="H370" s="21" t="s">
        <v>441</v>
      </c>
      <c r="I370" s="18"/>
      <c r="J370" s="22" t="s">
        <v>442</v>
      </c>
      <c r="K370" s="157">
        <f>+K371</f>
        <v>18824497618</v>
      </c>
      <c r="L370" s="157">
        <f t="shared" si="219"/>
        <v>0</v>
      </c>
      <c r="M370" s="157">
        <f t="shared" si="219"/>
        <v>18824497618</v>
      </c>
    </row>
    <row r="371" spans="2:13" ht="15" customHeight="1" x14ac:dyDescent="0.2">
      <c r="B371" s="16"/>
      <c r="C371" s="16"/>
      <c r="D371" s="16"/>
      <c r="E371" s="16"/>
      <c r="F371" s="16"/>
      <c r="G371" s="16"/>
      <c r="H371" s="21" t="s">
        <v>443</v>
      </c>
      <c r="I371" s="18"/>
      <c r="J371" s="22" t="s">
        <v>444</v>
      </c>
      <c r="K371" s="157">
        <f>+K372</f>
        <v>18824497618</v>
      </c>
      <c r="L371" s="157">
        <f t="shared" si="219"/>
        <v>0</v>
      </c>
      <c r="M371" s="157">
        <f t="shared" si="219"/>
        <v>18824497618</v>
      </c>
    </row>
    <row r="372" spans="2:13" ht="15" customHeight="1" x14ac:dyDescent="0.2">
      <c r="B372" s="16" t="s">
        <v>1002</v>
      </c>
      <c r="C372" s="16" t="s">
        <v>1006</v>
      </c>
      <c r="D372" s="16" t="s">
        <v>1048</v>
      </c>
      <c r="E372" s="16" t="s">
        <v>1017</v>
      </c>
      <c r="F372" s="16" t="s">
        <v>1022</v>
      </c>
      <c r="G372" s="16" t="s">
        <v>1025</v>
      </c>
      <c r="H372" s="21" t="s">
        <v>445</v>
      </c>
      <c r="I372" s="18" t="str">
        <f>RIGHT(H372,4)</f>
        <v>- 32</v>
      </c>
      <c r="J372" s="22" t="s">
        <v>444</v>
      </c>
      <c r="K372" s="23">
        <v>18824497618</v>
      </c>
      <c r="L372" s="23"/>
      <c r="M372" s="126">
        <f>+Tabla13[[#This Row],[PF INICIAL]]+Tabla13[[#This Row],[AJUSTE 1]]</f>
        <v>18824497618</v>
      </c>
    </row>
    <row r="373" spans="2:13" ht="31.5" customHeight="1" x14ac:dyDescent="0.25">
      <c r="B373" s="16"/>
      <c r="C373" s="16"/>
      <c r="D373" s="16"/>
      <c r="E373" s="16"/>
      <c r="F373" s="16"/>
      <c r="G373" s="16"/>
      <c r="H373" s="17" t="s">
        <v>446</v>
      </c>
      <c r="I373" s="18"/>
      <c r="J373" s="19" t="s">
        <v>301</v>
      </c>
      <c r="K373" s="156">
        <f>+K374+K376+K378</f>
        <v>1855043526</v>
      </c>
      <c r="L373" s="156">
        <f t="shared" ref="L373" si="220">+L374+L376+L378</f>
        <v>0</v>
      </c>
      <c r="M373" s="156">
        <f t="shared" ref="M373" si="221">+M374+M376+M378</f>
        <v>1855043526</v>
      </c>
    </row>
    <row r="374" spans="2:13" ht="30" customHeight="1" x14ac:dyDescent="0.2">
      <c r="B374" s="16"/>
      <c r="C374" s="16"/>
      <c r="D374" s="16"/>
      <c r="E374" s="16"/>
      <c r="F374" s="16"/>
      <c r="G374" s="16"/>
      <c r="H374" s="21" t="s">
        <v>447</v>
      </c>
      <c r="I374" s="18"/>
      <c r="J374" s="22" t="s">
        <v>448</v>
      </c>
      <c r="K374" s="157">
        <f>+K375</f>
        <v>1443981088</v>
      </c>
      <c r="L374" s="157">
        <f t="shared" ref="L374:M374" si="222">+L375</f>
        <v>0</v>
      </c>
      <c r="M374" s="157">
        <f t="shared" si="222"/>
        <v>1443981088</v>
      </c>
    </row>
    <row r="375" spans="2:13" ht="30" customHeight="1" x14ac:dyDescent="0.2">
      <c r="B375" s="16" t="s">
        <v>1002</v>
      </c>
      <c r="C375" s="16" t="s">
        <v>1006</v>
      </c>
      <c r="D375" s="16" t="s">
        <v>1048</v>
      </c>
      <c r="E375" s="16" t="s">
        <v>1021</v>
      </c>
      <c r="F375" s="16" t="s">
        <v>1022</v>
      </c>
      <c r="G375" s="16" t="s">
        <v>1025</v>
      </c>
      <c r="H375" s="21" t="s">
        <v>449</v>
      </c>
      <c r="I375" s="18" t="str">
        <f>RIGHT(H375,4)</f>
        <v>- 33</v>
      </c>
      <c r="J375" s="22" t="s">
        <v>448</v>
      </c>
      <c r="K375" s="23">
        <v>1443981088</v>
      </c>
      <c r="L375" s="23"/>
      <c r="M375" s="126">
        <f>+Tabla13[[#This Row],[PF INICIAL]]+Tabla13[[#This Row],[AJUSTE 1]]</f>
        <v>1443981088</v>
      </c>
    </row>
    <row r="376" spans="2:13" ht="15" customHeight="1" x14ac:dyDescent="0.2">
      <c r="B376" s="16"/>
      <c r="C376" s="16"/>
      <c r="D376" s="16"/>
      <c r="E376" s="16"/>
      <c r="F376" s="16"/>
      <c r="G376" s="16"/>
      <c r="H376" s="21" t="s">
        <v>450</v>
      </c>
      <c r="I376" s="18"/>
      <c r="J376" s="22" t="s">
        <v>451</v>
      </c>
      <c r="K376" s="157">
        <f>+K377</f>
        <v>350000000</v>
      </c>
      <c r="L376" s="157">
        <f t="shared" ref="L376:M376" si="223">+L377</f>
        <v>0</v>
      </c>
      <c r="M376" s="157">
        <f t="shared" si="223"/>
        <v>350000000</v>
      </c>
    </row>
    <row r="377" spans="2:13" ht="15" customHeight="1" x14ac:dyDescent="0.2">
      <c r="B377" s="16" t="s">
        <v>1002</v>
      </c>
      <c r="C377" s="16" t="s">
        <v>1006</v>
      </c>
      <c r="D377" s="16" t="s">
        <v>1048</v>
      </c>
      <c r="E377" s="16" t="s">
        <v>1021</v>
      </c>
      <c r="F377" s="16" t="s">
        <v>1022</v>
      </c>
      <c r="G377" s="16" t="s">
        <v>1025</v>
      </c>
      <c r="H377" s="21" t="s">
        <v>452</v>
      </c>
      <c r="I377" s="18" t="str">
        <f>RIGHT(H377,4)</f>
        <v>- 35</v>
      </c>
      <c r="J377" s="22" t="s">
        <v>451</v>
      </c>
      <c r="K377" s="23">
        <v>350000000</v>
      </c>
      <c r="L377" s="23"/>
      <c r="M377" s="126">
        <f>+Tabla13[[#This Row],[PF INICIAL]]+Tabla13[[#This Row],[AJUSTE 1]]</f>
        <v>350000000</v>
      </c>
    </row>
    <row r="378" spans="2:13" ht="15" customHeight="1" x14ac:dyDescent="0.2">
      <c r="B378" s="16"/>
      <c r="C378" s="16"/>
      <c r="D378" s="16"/>
      <c r="E378" s="16"/>
      <c r="F378" s="16"/>
      <c r="G378" s="16"/>
      <c r="H378" s="21" t="s">
        <v>453</v>
      </c>
      <c r="I378" s="18"/>
      <c r="J378" s="22" t="s">
        <v>454</v>
      </c>
      <c r="K378" s="157">
        <f>+K379</f>
        <v>61062438</v>
      </c>
      <c r="L378" s="157">
        <f t="shared" ref="L378:M378" si="224">+L379</f>
        <v>0</v>
      </c>
      <c r="M378" s="157">
        <f t="shared" si="224"/>
        <v>61062438</v>
      </c>
    </row>
    <row r="379" spans="2:13" ht="15" customHeight="1" x14ac:dyDescent="0.2">
      <c r="B379" s="16" t="s">
        <v>1002</v>
      </c>
      <c r="C379" s="16" t="s">
        <v>1006</v>
      </c>
      <c r="D379" s="16" t="s">
        <v>1048</v>
      </c>
      <c r="E379" s="16" t="s">
        <v>1021</v>
      </c>
      <c r="F379" s="16" t="s">
        <v>1022</v>
      </c>
      <c r="G379" s="16" t="s">
        <v>1025</v>
      </c>
      <c r="H379" s="21" t="s">
        <v>455</v>
      </c>
      <c r="I379" s="18" t="str">
        <f>RIGHT(H379,4)</f>
        <v>- 36</v>
      </c>
      <c r="J379" s="22" t="s">
        <v>454</v>
      </c>
      <c r="K379" s="23">
        <v>61062438</v>
      </c>
      <c r="L379" s="23"/>
      <c r="M379" s="126">
        <f>+Tabla13[[#This Row],[PF INICIAL]]+Tabla13[[#This Row],[AJUSTE 1]]</f>
        <v>61062438</v>
      </c>
    </row>
    <row r="380" spans="2:13" s="13" customFormat="1" ht="15.75" customHeight="1" x14ac:dyDescent="0.25">
      <c r="B380" s="24"/>
      <c r="C380" s="24"/>
      <c r="D380" s="24"/>
      <c r="E380" s="24"/>
      <c r="F380" s="24"/>
      <c r="G380" s="24"/>
      <c r="H380" s="17" t="s">
        <v>456</v>
      </c>
      <c r="I380" s="18"/>
      <c r="J380" s="19" t="s">
        <v>225</v>
      </c>
      <c r="K380" s="156">
        <f>+K381+K387+K390</f>
        <v>300000000</v>
      </c>
      <c r="L380" s="156">
        <f t="shared" ref="L380" si="225">+L381+L387+L390</f>
        <v>0</v>
      </c>
      <c r="M380" s="156">
        <f t="shared" ref="M380" si="226">+M381+M387+M390</f>
        <v>300000000</v>
      </c>
    </row>
    <row r="381" spans="2:13" s="13" customFormat="1" ht="15.75" customHeight="1" x14ac:dyDescent="0.25">
      <c r="B381" s="24"/>
      <c r="C381" s="24"/>
      <c r="D381" s="24"/>
      <c r="E381" s="24"/>
      <c r="F381" s="24"/>
      <c r="G381" s="24"/>
      <c r="H381" s="17" t="s">
        <v>457</v>
      </c>
      <c r="I381" s="18"/>
      <c r="J381" s="19" t="s">
        <v>239</v>
      </c>
      <c r="K381" s="156">
        <f>+K382</f>
        <v>300000000</v>
      </c>
      <c r="L381" s="156">
        <f t="shared" ref="L381:M381" si="227">+L382</f>
        <v>0</v>
      </c>
      <c r="M381" s="156">
        <f t="shared" si="227"/>
        <v>300000000</v>
      </c>
    </row>
    <row r="382" spans="2:13" s="13" customFormat="1" ht="15.75" customHeight="1" x14ac:dyDescent="0.25">
      <c r="B382" s="24"/>
      <c r="C382" s="24"/>
      <c r="D382" s="24"/>
      <c r="E382" s="24"/>
      <c r="F382" s="24"/>
      <c r="G382" s="24"/>
      <c r="H382" s="17" t="s">
        <v>458</v>
      </c>
      <c r="I382" s="18"/>
      <c r="J382" s="19" t="s">
        <v>241</v>
      </c>
      <c r="K382" s="156">
        <f>SUM(K383:K386)</f>
        <v>300000000</v>
      </c>
      <c r="L382" s="156">
        <f t="shared" ref="L382" si="228">SUM(L383:L386)</f>
        <v>0</v>
      </c>
      <c r="M382" s="156">
        <f t="shared" ref="M382" si="229">SUM(M383:M386)</f>
        <v>300000000</v>
      </c>
    </row>
    <row r="383" spans="2:13" ht="15" customHeight="1" x14ac:dyDescent="0.2">
      <c r="B383" s="16" t="s">
        <v>1002</v>
      </c>
      <c r="C383" s="16" t="s">
        <v>1006</v>
      </c>
      <c r="D383" s="16" t="s">
        <v>1048</v>
      </c>
      <c r="E383" s="16" t="s">
        <v>1017</v>
      </c>
      <c r="F383" s="16" t="s">
        <v>1023</v>
      </c>
      <c r="G383" s="16" t="s">
        <v>1028</v>
      </c>
      <c r="H383" s="21" t="s">
        <v>459</v>
      </c>
      <c r="I383" s="18" t="str">
        <f>RIGHT(H383,4)</f>
        <v xml:space="preserve"> 32F</v>
      </c>
      <c r="J383" s="22" t="s">
        <v>241</v>
      </c>
      <c r="K383" s="23">
        <v>300000000</v>
      </c>
      <c r="L383" s="23"/>
      <c r="M383" s="126">
        <f>+Tabla13[[#This Row],[PF INICIAL]]+Tabla13[[#This Row],[AJUSTE 1]]</f>
        <v>300000000</v>
      </c>
    </row>
    <row r="384" spans="2:13" ht="15" customHeight="1" x14ac:dyDescent="0.2">
      <c r="B384" s="16" t="s">
        <v>1002</v>
      </c>
      <c r="C384" s="16" t="s">
        <v>1006</v>
      </c>
      <c r="D384" s="16" t="s">
        <v>1048</v>
      </c>
      <c r="E384" s="16" t="s">
        <v>1021</v>
      </c>
      <c r="F384" s="16" t="s">
        <v>1023</v>
      </c>
      <c r="G384" s="16" t="s">
        <v>1028</v>
      </c>
      <c r="H384" s="21" t="s">
        <v>460</v>
      </c>
      <c r="I384" s="18" t="str">
        <f>RIGHT(H384,4)</f>
        <v xml:space="preserve"> 33F</v>
      </c>
      <c r="J384" s="22" t="s">
        <v>241</v>
      </c>
      <c r="K384" s="23">
        <v>0</v>
      </c>
      <c r="L384" s="23"/>
      <c r="M384" s="126">
        <f>+Tabla13[[#This Row],[PF INICIAL]]+Tabla13[[#This Row],[AJUSTE 1]]</f>
        <v>0</v>
      </c>
    </row>
    <row r="385" spans="2:13" ht="15" customHeight="1" x14ac:dyDescent="0.2">
      <c r="B385" s="16" t="s">
        <v>1002</v>
      </c>
      <c r="C385" s="16" t="s">
        <v>1006</v>
      </c>
      <c r="D385" s="16" t="s">
        <v>1048</v>
      </c>
      <c r="E385" s="16" t="s">
        <v>1021</v>
      </c>
      <c r="F385" s="16" t="s">
        <v>1023</v>
      </c>
      <c r="G385" s="16" t="s">
        <v>1028</v>
      </c>
      <c r="H385" s="21" t="s">
        <v>461</v>
      </c>
      <c r="I385" s="18" t="str">
        <f>RIGHT(H385,4)</f>
        <v xml:space="preserve"> 35F</v>
      </c>
      <c r="J385" s="22" t="s">
        <v>241</v>
      </c>
      <c r="K385" s="23">
        <v>0</v>
      </c>
      <c r="L385" s="23"/>
      <c r="M385" s="126">
        <f>+Tabla13[[#This Row],[PF INICIAL]]+Tabla13[[#This Row],[AJUSTE 1]]</f>
        <v>0</v>
      </c>
    </row>
    <row r="386" spans="2:13" ht="15" customHeight="1" x14ac:dyDescent="0.2">
      <c r="B386" s="16" t="s">
        <v>1002</v>
      </c>
      <c r="C386" s="16" t="s">
        <v>1006</v>
      </c>
      <c r="D386" s="16" t="s">
        <v>1048</v>
      </c>
      <c r="E386" s="16" t="s">
        <v>1021</v>
      </c>
      <c r="F386" s="16" t="s">
        <v>1023</v>
      </c>
      <c r="G386" s="16" t="s">
        <v>1028</v>
      </c>
      <c r="H386" s="21" t="s">
        <v>462</v>
      </c>
      <c r="I386" s="18" t="str">
        <f>RIGHT(H386,4)</f>
        <v xml:space="preserve"> 36F</v>
      </c>
      <c r="J386" s="22" t="s">
        <v>241</v>
      </c>
      <c r="K386" s="23">
        <v>0</v>
      </c>
      <c r="L386" s="23"/>
      <c r="M386" s="126">
        <f>+Tabla13[[#This Row],[PF INICIAL]]+Tabla13[[#This Row],[AJUSTE 1]]</f>
        <v>0</v>
      </c>
    </row>
    <row r="387" spans="2:13" s="13" customFormat="1" ht="15.75" customHeight="1" x14ac:dyDescent="0.25">
      <c r="B387" s="24"/>
      <c r="C387" s="24"/>
      <c r="D387" s="24"/>
      <c r="E387" s="24"/>
      <c r="F387" s="24"/>
      <c r="G387" s="24"/>
      <c r="H387" s="17" t="s">
        <v>463</v>
      </c>
      <c r="I387" s="18"/>
      <c r="J387" s="19" t="s">
        <v>267</v>
      </c>
      <c r="K387" s="156">
        <f>+K388</f>
        <v>0</v>
      </c>
      <c r="L387" s="156">
        <f t="shared" ref="L387:M388" si="230">+L388</f>
        <v>0</v>
      </c>
      <c r="M387" s="156">
        <f t="shared" si="230"/>
        <v>0</v>
      </c>
    </row>
    <row r="388" spans="2:13" s="13" customFormat="1" ht="15.75" customHeight="1" x14ac:dyDescent="0.25">
      <c r="B388" s="24"/>
      <c r="C388" s="24"/>
      <c r="D388" s="24"/>
      <c r="E388" s="24"/>
      <c r="F388" s="24"/>
      <c r="G388" s="24"/>
      <c r="H388" s="17" t="s">
        <v>464</v>
      </c>
      <c r="I388" s="18"/>
      <c r="J388" s="19" t="s">
        <v>271</v>
      </c>
      <c r="K388" s="156">
        <f>+K389</f>
        <v>0</v>
      </c>
      <c r="L388" s="156">
        <f t="shared" si="230"/>
        <v>0</v>
      </c>
      <c r="M388" s="156">
        <f t="shared" si="230"/>
        <v>0</v>
      </c>
    </row>
    <row r="389" spans="2:13" ht="15" customHeight="1" x14ac:dyDescent="0.2">
      <c r="B389" s="16" t="s">
        <v>1002</v>
      </c>
      <c r="C389" s="16" t="s">
        <v>1006</v>
      </c>
      <c r="D389" s="16" t="s">
        <v>1048</v>
      </c>
      <c r="E389" s="16" t="s">
        <v>1017</v>
      </c>
      <c r="F389" s="16" t="s">
        <v>1023</v>
      </c>
      <c r="G389" s="16" t="s">
        <v>1030</v>
      </c>
      <c r="H389" s="21" t="s">
        <v>465</v>
      </c>
      <c r="I389" s="18" t="str">
        <f>RIGHT(H389,4)</f>
        <v>32RB</v>
      </c>
      <c r="J389" s="22" t="s">
        <v>271</v>
      </c>
      <c r="K389" s="23">
        <v>0</v>
      </c>
      <c r="L389" s="23"/>
      <c r="M389" s="126">
        <f>+Tabla13[[#This Row],[PF INICIAL]]+Tabla13[[#This Row],[AJUSTE 1]]</f>
        <v>0</v>
      </c>
    </row>
    <row r="390" spans="2:13" s="13" customFormat="1" ht="15.75" customHeight="1" x14ac:dyDescent="0.25">
      <c r="B390" s="24"/>
      <c r="C390" s="24"/>
      <c r="D390" s="24"/>
      <c r="E390" s="24"/>
      <c r="F390" s="24"/>
      <c r="G390" s="24"/>
      <c r="H390" s="17" t="s">
        <v>466</v>
      </c>
      <c r="I390" s="18"/>
      <c r="J390" s="19" t="s">
        <v>273</v>
      </c>
      <c r="K390" s="156">
        <f>+K391</f>
        <v>0</v>
      </c>
      <c r="L390" s="156">
        <f t="shared" ref="L390:M391" si="231">+L391</f>
        <v>0</v>
      </c>
      <c r="M390" s="156">
        <f t="shared" si="231"/>
        <v>0</v>
      </c>
    </row>
    <row r="391" spans="2:13" s="13" customFormat="1" ht="15.75" customHeight="1" x14ac:dyDescent="0.25">
      <c r="B391" s="24"/>
      <c r="C391" s="24"/>
      <c r="D391" s="24"/>
      <c r="E391" s="24"/>
      <c r="F391" s="24"/>
      <c r="G391" s="24"/>
      <c r="H391" s="17" t="s">
        <v>467</v>
      </c>
      <c r="I391" s="18"/>
      <c r="J391" s="19" t="s">
        <v>275</v>
      </c>
      <c r="K391" s="156">
        <f>+K392</f>
        <v>0</v>
      </c>
      <c r="L391" s="156">
        <f t="shared" si="231"/>
        <v>0</v>
      </c>
      <c r="M391" s="156">
        <f t="shared" si="231"/>
        <v>0</v>
      </c>
    </row>
    <row r="392" spans="2:13" ht="15" customHeight="1" x14ac:dyDescent="0.2">
      <c r="B392" s="16" t="s">
        <v>1002</v>
      </c>
      <c r="C392" s="16" t="s">
        <v>1006</v>
      </c>
      <c r="D392" s="16" t="s">
        <v>1048</v>
      </c>
      <c r="E392" s="16" t="s">
        <v>1021</v>
      </c>
      <c r="F392" s="16" t="s">
        <v>1023</v>
      </c>
      <c r="G392" s="16" t="s">
        <v>1031</v>
      </c>
      <c r="H392" s="21" t="s">
        <v>737</v>
      </c>
      <c r="I392" s="18" t="str">
        <f>RIGHT(H392,4)</f>
        <v>- 33</v>
      </c>
      <c r="J392" s="22" t="s">
        <v>275</v>
      </c>
      <c r="K392" s="23"/>
      <c r="L392" s="23"/>
      <c r="M392" s="126">
        <f>+Tabla13[[#This Row],[PF INICIAL]]+Tabla13[[#This Row],[AJUSTE 1]]</f>
        <v>0</v>
      </c>
    </row>
    <row r="393" spans="2:13" ht="31.5" customHeight="1" x14ac:dyDescent="0.25">
      <c r="B393" s="16"/>
      <c r="C393" s="16"/>
      <c r="D393" s="16"/>
      <c r="E393" s="16"/>
      <c r="F393" s="16"/>
      <c r="G393" s="16"/>
      <c r="H393" s="44">
        <v>30303</v>
      </c>
      <c r="I393" s="18"/>
      <c r="J393" s="43" t="s">
        <v>793</v>
      </c>
      <c r="K393" s="156">
        <f>+K394</f>
        <v>17635639023</v>
      </c>
      <c r="L393" s="156">
        <f t="shared" ref="L393:M393" si="232">+L394</f>
        <v>0</v>
      </c>
      <c r="M393" s="156">
        <f t="shared" si="232"/>
        <v>17635639023</v>
      </c>
    </row>
    <row r="394" spans="2:13" s="13" customFormat="1" ht="15.75" customHeight="1" x14ac:dyDescent="0.25">
      <c r="B394" s="24"/>
      <c r="C394" s="24"/>
      <c r="D394" s="24"/>
      <c r="E394" s="24"/>
      <c r="F394" s="24"/>
      <c r="G394" s="24"/>
      <c r="H394" s="17" t="s">
        <v>468</v>
      </c>
      <c r="I394" s="18"/>
      <c r="J394" s="19" t="s">
        <v>1</v>
      </c>
      <c r="K394" s="156">
        <f>+K395+K432</f>
        <v>17635639023</v>
      </c>
      <c r="L394" s="156">
        <f t="shared" ref="L394" si="233">+L395+L432</f>
        <v>0</v>
      </c>
      <c r="M394" s="156">
        <f t="shared" ref="M394" si="234">+M395+M432</f>
        <v>17635639023</v>
      </c>
    </row>
    <row r="395" spans="2:13" s="13" customFormat="1" ht="15.75" customHeight="1" x14ac:dyDescent="0.25">
      <c r="B395" s="24"/>
      <c r="C395" s="24"/>
      <c r="D395" s="24"/>
      <c r="E395" s="24"/>
      <c r="F395" s="24"/>
      <c r="G395" s="24"/>
      <c r="H395" s="17" t="s">
        <v>469</v>
      </c>
      <c r="I395" s="18"/>
      <c r="J395" s="19" t="s">
        <v>3</v>
      </c>
      <c r="K395" s="156">
        <f>+K396+K411</f>
        <v>17635639023</v>
      </c>
      <c r="L395" s="156">
        <f t="shared" ref="L395" si="235">+L396+L411</f>
        <v>0</v>
      </c>
      <c r="M395" s="156">
        <f t="shared" ref="M395" si="236">+M396+M411</f>
        <v>17635639023</v>
      </c>
    </row>
    <row r="396" spans="2:13" s="13" customFormat="1" ht="15.75" customHeight="1" x14ac:dyDescent="0.25">
      <c r="B396" s="24"/>
      <c r="C396" s="24"/>
      <c r="D396" s="24"/>
      <c r="E396" s="24"/>
      <c r="F396" s="24"/>
      <c r="G396" s="24"/>
      <c r="H396" s="17" t="s">
        <v>470</v>
      </c>
      <c r="I396" s="18"/>
      <c r="J396" s="19" t="s">
        <v>5</v>
      </c>
      <c r="K396" s="156">
        <f>+K397</f>
        <v>5200097925</v>
      </c>
      <c r="L396" s="156">
        <f t="shared" ref="L396:M396" si="237">+L397</f>
        <v>0</v>
      </c>
      <c r="M396" s="156">
        <f t="shared" si="237"/>
        <v>5200097925</v>
      </c>
    </row>
    <row r="397" spans="2:13" s="13" customFormat="1" ht="15.75" customHeight="1" x14ac:dyDescent="0.25">
      <c r="B397" s="24"/>
      <c r="C397" s="24"/>
      <c r="D397" s="24"/>
      <c r="E397" s="24"/>
      <c r="F397" s="24"/>
      <c r="G397" s="24"/>
      <c r="H397" s="17" t="s">
        <v>471</v>
      </c>
      <c r="I397" s="18"/>
      <c r="J397" s="19" t="s">
        <v>14</v>
      </c>
      <c r="K397" s="156">
        <f>+K398+K406</f>
        <v>5200097925</v>
      </c>
      <c r="L397" s="156">
        <f t="shared" ref="L397" si="238">+L398+L406</f>
        <v>0</v>
      </c>
      <c r="M397" s="156">
        <f t="shared" ref="M397" si="239">+M398+M406</f>
        <v>5200097925</v>
      </c>
    </row>
    <row r="398" spans="2:13" ht="15" customHeight="1" x14ac:dyDescent="0.2">
      <c r="B398" s="16"/>
      <c r="C398" s="16"/>
      <c r="D398" s="16"/>
      <c r="E398" s="16"/>
      <c r="F398" s="16"/>
      <c r="G398" s="16"/>
      <c r="H398" s="21" t="s">
        <v>472</v>
      </c>
      <c r="I398" s="18"/>
      <c r="J398" s="22" t="s">
        <v>29</v>
      </c>
      <c r="K398" s="157">
        <f>+K399</f>
        <v>751578099</v>
      </c>
      <c r="L398" s="157">
        <f t="shared" ref="L398:M398" si="240">+L399</f>
        <v>0</v>
      </c>
      <c r="M398" s="157">
        <f t="shared" si="240"/>
        <v>751578099</v>
      </c>
    </row>
    <row r="399" spans="2:13" ht="15" customHeight="1" x14ac:dyDescent="0.2">
      <c r="B399" s="16"/>
      <c r="C399" s="16"/>
      <c r="D399" s="16"/>
      <c r="E399" s="16"/>
      <c r="F399" s="16"/>
      <c r="G399" s="16"/>
      <c r="H399" s="21" t="s">
        <v>473</v>
      </c>
      <c r="I399" s="18"/>
      <c r="J399" s="22" t="s">
        <v>31</v>
      </c>
      <c r="K399" s="157">
        <f>+K400+K403</f>
        <v>751578099</v>
      </c>
      <c r="L399" s="157">
        <f t="shared" ref="L399" si="241">+L400+L403</f>
        <v>0</v>
      </c>
      <c r="M399" s="157">
        <f t="shared" ref="M399" si="242">+M400+M403</f>
        <v>751578099</v>
      </c>
    </row>
    <row r="400" spans="2:13" ht="30" customHeight="1" x14ac:dyDescent="0.2">
      <c r="B400" s="16"/>
      <c r="C400" s="16"/>
      <c r="D400" s="16"/>
      <c r="E400" s="16"/>
      <c r="F400" s="16"/>
      <c r="G400" s="16"/>
      <c r="H400" s="21" t="s">
        <v>474</v>
      </c>
      <c r="I400" s="18"/>
      <c r="J400" s="22" t="s">
        <v>33</v>
      </c>
      <c r="K400" s="157">
        <f>+K401+K402</f>
        <v>320371442</v>
      </c>
      <c r="L400" s="157">
        <f t="shared" ref="L400" si="243">+L401+L402</f>
        <v>0</v>
      </c>
      <c r="M400" s="157">
        <f t="shared" ref="M400" si="244">+M401+M402</f>
        <v>320371442</v>
      </c>
    </row>
    <row r="401" spans="2:13" ht="30" customHeight="1" x14ac:dyDescent="0.2">
      <c r="B401" s="16" t="s">
        <v>1002</v>
      </c>
      <c r="C401" s="16" t="s">
        <v>1006</v>
      </c>
      <c r="D401" s="16" t="s">
        <v>1049</v>
      </c>
      <c r="E401" s="16" t="s">
        <v>1021</v>
      </c>
      <c r="F401" s="16" t="s">
        <v>1022</v>
      </c>
      <c r="G401" s="16" t="s">
        <v>1025</v>
      </c>
      <c r="H401" s="21" t="s">
        <v>475</v>
      </c>
      <c r="I401" s="18" t="str">
        <f>RIGHT(H401,4)</f>
        <v xml:space="preserve"> 150</v>
      </c>
      <c r="J401" s="22" t="s">
        <v>35</v>
      </c>
      <c r="K401" s="23">
        <v>124968007</v>
      </c>
      <c r="L401" s="23"/>
      <c r="M401" s="126">
        <f>+Tabla13[[#This Row],[PF INICIAL]]+Tabla13[[#This Row],[AJUSTE 1]]</f>
        <v>124968007</v>
      </c>
    </row>
    <row r="402" spans="2:13" ht="15.6" customHeight="1" x14ac:dyDescent="0.2">
      <c r="B402" s="16" t="s">
        <v>1002</v>
      </c>
      <c r="C402" s="16" t="s">
        <v>1006</v>
      </c>
      <c r="D402" s="16" t="s">
        <v>1049</v>
      </c>
      <c r="E402" s="16" t="s">
        <v>1021</v>
      </c>
      <c r="F402" s="16" t="s">
        <v>1022</v>
      </c>
      <c r="G402" s="16" t="s">
        <v>1025</v>
      </c>
      <c r="H402" s="21" t="s">
        <v>476</v>
      </c>
      <c r="I402" s="18" t="str">
        <f>RIGHT(H402,4)</f>
        <v xml:space="preserve"> 150</v>
      </c>
      <c r="J402" s="22" t="s">
        <v>38</v>
      </c>
      <c r="K402" s="23">
        <v>195403435</v>
      </c>
      <c r="L402" s="23"/>
      <c r="M402" s="126">
        <f>+Tabla13[[#This Row],[PF INICIAL]]+Tabla13[[#This Row],[AJUSTE 1]]</f>
        <v>195403435</v>
      </c>
    </row>
    <row r="403" spans="2:13" ht="30" customHeight="1" x14ac:dyDescent="0.2">
      <c r="B403" s="16"/>
      <c r="C403" s="16"/>
      <c r="D403" s="16"/>
      <c r="E403" s="16"/>
      <c r="F403" s="16"/>
      <c r="G403" s="16"/>
      <c r="H403" s="21" t="s">
        <v>477</v>
      </c>
      <c r="I403" s="18"/>
      <c r="J403" s="22" t="s">
        <v>41</v>
      </c>
      <c r="K403" s="157">
        <f>+K404+K405</f>
        <v>431206657</v>
      </c>
      <c r="L403" s="157">
        <f t="shared" ref="L403" si="245">+L404+L405</f>
        <v>0</v>
      </c>
      <c r="M403" s="157">
        <f t="shared" ref="M403" si="246">+M404+M405</f>
        <v>431206657</v>
      </c>
    </row>
    <row r="404" spans="2:13" ht="30" customHeight="1" x14ac:dyDescent="0.2">
      <c r="B404" s="16" t="s">
        <v>1002</v>
      </c>
      <c r="C404" s="16" t="s">
        <v>1006</v>
      </c>
      <c r="D404" s="16" t="s">
        <v>1049</v>
      </c>
      <c r="E404" s="16" t="s">
        <v>1021</v>
      </c>
      <c r="F404" s="16" t="s">
        <v>1022</v>
      </c>
      <c r="G404" s="16" t="s">
        <v>1025</v>
      </c>
      <c r="H404" s="21" t="s">
        <v>478</v>
      </c>
      <c r="I404" s="18" t="str">
        <f>RIGHT(H404,4)</f>
        <v xml:space="preserve"> 150</v>
      </c>
      <c r="J404" s="22" t="s">
        <v>43</v>
      </c>
      <c r="K404" s="23">
        <v>138101501</v>
      </c>
      <c r="L404" s="23"/>
      <c r="M404" s="126">
        <f>+Tabla13[[#This Row],[PF INICIAL]]+Tabla13[[#This Row],[AJUSTE 1]]</f>
        <v>138101501</v>
      </c>
    </row>
    <row r="405" spans="2:13" ht="18.600000000000001" customHeight="1" x14ac:dyDescent="0.2">
      <c r="B405" s="16" t="s">
        <v>1002</v>
      </c>
      <c r="C405" s="16" t="s">
        <v>1006</v>
      </c>
      <c r="D405" s="16" t="s">
        <v>1049</v>
      </c>
      <c r="E405" s="16" t="s">
        <v>1021</v>
      </c>
      <c r="F405" s="16" t="s">
        <v>1022</v>
      </c>
      <c r="G405" s="16" t="s">
        <v>1025</v>
      </c>
      <c r="H405" s="21" t="s">
        <v>479</v>
      </c>
      <c r="I405" s="18" t="str">
        <f>RIGHT(H405,4)</f>
        <v xml:space="preserve"> 150</v>
      </c>
      <c r="J405" s="22" t="s">
        <v>46</v>
      </c>
      <c r="K405" s="23">
        <v>293105156</v>
      </c>
      <c r="L405" s="23"/>
      <c r="M405" s="126">
        <f>+Tabla13[[#This Row],[PF INICIAL]]+Tabla13[[#This Row],[AJUSTE 1]]</f>
        <v>293105156</v>
      </c>
    </row>
    <row r="406" spans="2:13" ht="15" customHeight="1" x14ac:dyDescent="0.2">
      <c r="B406" s="16"/>
      <c r="C406" s="16"/>
      <c r="D406" s="16"/>
      <c r="E406" s="16"/>
      <c r="F406" s="16"/>
      <c r="G406" s="16"/>
      <c r="H406" s="21" t="s">
        <v>480</v>
      </c>
      <c r="I406" s="18"/>
      <c r="J406" s="22" t="s">
        <v>49</v>
      </c>
      <c r="K406" s="157">
        <f>+K407+K409</f>
        <v>4448519826</v>
      </c>
      <c r="L406" s="157">
        <f t="shared" ref="L406" si="247">+L407+L409</f>
        <v>0</v>
      </c>
      <c r="M406" s="157">
        <f t="shared" ref="M406" si="248">+M407+M409</f>
        <v>4448519826</v>
      </c>
    </row>
    <row r="407" spans="2:13" ht="15" customHeight="1" x14ac:dyDescent="0.2">
      <c r="B407" s="16"/>
      <c r="C407" s="16"/>
      <c r="D407" s="16"/>
      <c r="E407" s="16"/>
      <c r="F407" s="16"/>
      <c r="G407" s="16"/>
      <c r="H407" s="21" t="s">
        <v>481</v>
      </c>
      <c r="I407" s="18"/>
      <c r="J407" s="22" t="s">
        <v>51</v>
      </c>
      <c r="K407" s="157">
        <f>+K408</f>
        <v>4446770946</v>
      </c>
      <c r="L407" s="157">
        <f t="shared" ref="L407:M407" si="249">+L408</f>
        <v>0</v>
      </c>
      <c r="M407" s="157">
        <f t="shared" si="249"/>
        <v>4446770946</v>
      </c>
    </row>
    <row r="408" spans="2:13" ht="15" customHeight="1" x14ac:dyDescent="0.2">
      <c r="B408" s="16" t="s">
        <v>1002</v>
      </c>
      <c r="C408" s="16" t="s">
        <v>1006</v>
      </c>
      <c r="D408" s="16" t="s">
        <v>1049</v>
      </c>
      <c r="E408" s="16" t="s">
        <v>1021</v>
      </c>
      <c r="F408" s="16" t="s">
        <v>1022</v>
      </c>
      <c r="G408" s="16" t="s">
        <v>1025</v>
      </c>
      <c r="H408" s="21" t="s">
        <v>482</v>
      </c>
      <c r="I408" s="18" t="str">
        <f>RIGHT(H408,4)</f>
        <v>- 29</v>
      </c>
      <c r="J408" s="22" t="s">
        <v>51</v>
      </c>
      <c r="K408" s="23">
        <v>4446770946</v>
      </c>
      <c r="L408" s="23"/>
      <c r="M408" s="126">
        <f>+Tabla13[[#This Row],[PF INICIAL]]+Tabla13[[#This Row],[AJUSTE 1]]</f>
        <v>4446770946</v>
      </c>
    </row>
    <row r="409" spans="2:13" ht="15" customHeight="1" x14ac:dyDescent="0.2">
      <c r="B409" s="16"/>
      <c r="C409" s="16"/>
      <c r="D409" s="16"/>
      <c r="E409" s="16"/>
      <c r="F409" s="16"/>
      <c r="G409" s="16"/>
      <c r="H409" s="21" t="s">
        <v>483</v>
      </c>
      <c r="I409" s="18"/>
      <c r="J409" s="22" t="s">
        <v>54</v>
      </c>
      <c r="K409" s="157">
        <f>+K410</f>
        <v>1748880</v>
      </c>
      <c r="L409" s="157">
        <f t="shared" ref="L409:M409" si="250">+L410</f>
        <v>0</v>
      </c>
      <c r="M409" s="157">
        <f t="shared" si="250"/>
        <v>1748880</v>
      </c>
    </row>
    <row r="410" spans="2:13" ht="15" customHeight="1" x14ac:dyDescent="0.2">
      <c r="B410" s="16" t="s">
        <v>1002</v>
      </c>
      <c r="C410" s="16" t="s">
        <v>1006</v>
      </c>
      <c r="D410" s="16" t="s">
        <v>1049</v>
      </c>
      <c r="E410" s="16" t="s">
        <v>1021</v>
      </c>
      <c r="F410" s="16" t="s">
        <v>1022</v>
      </c>
      <c r="G410" s="16" t="s">
        <v>1025</v>
      </c>
      <c r="H410" s="21" t="s">
        <v>484</v>
      </c>
      <c r="I410" s="18" t="str">
        <f>RIGHT(H410,4)</f>
        <v>- 29</v>
      </c>
      <c r="J410" s="22" t="s">
        <v>54</v>
      </c>
      <c r="K410" s="23">
        <v>1748880</v>
      </c>
      <c r="L410" s="23"/>
      <c r="M410" s="126">
        <f>+Tabla13[[#This Row],[PF INICIAL]]+Tabla13[[#This Row],[AJUSTE 1]]</f>
        <v>1748880</v>
      </c>
    </row>
    <row r="411" spans="2:13" s="13" customFormat="1" ht="15.75" customHeight="1" x14ac:dyDescent="0.25">
      <c r="B411" s="24"/>
      <c r="C411" s="24"/>
      <c r="D411" s="24"/>
      <c r="E411" s="24"/>
      <c r="F411" s="24"/>
      <c r="G411" s="24"/>
      <c r="H411" s="17" t="s">
        <v>485</v>
      </c>
      <c r="I411" s="18"/>
      <c r="J411" s="19" t="s">
        <v>86</v>
      </c>
      <c r="K411" s="156">
        <f>+K412+K417</f>
        <v>12435541098</v>
      </c>
      <c r="L411" s="156">
        <f t="shared" ref="L411" si="251">+L412+L417</f>
        <v>0</v>
      </c>
      <c r="M411" s="156">
        <f t="shared" ref="M411" si="252">+M412+M417</f>
        <v>12435541098</v>
      </c>
    </row>
    <row r="412" spans="2:13" s="13" customFormat="1" ht="15.75" customHeight="1" x14ac:dyDescent="0.25">
      <c r="B412" s="24"/>
      <c r="C412" s="24"/>
      <c r="D412" s="24"/>
      <c r="E412" s="24"/>
      <c r="F412" s="24"/>
      <c r="G412" s="24"/>
      <c r="H412" s="17" t="s">
        <v>486</v>
      </c>
      <c r="I412" s="18"/>
      <c r="J412" s="19" t="s">
        <v>164</v>
      </c>
      <c r="K412" s="156">
        <f>+K413</f>
        <v>9252949350</v>
      </c>
      <c r="L412" s="156">
        <f t="shared" ref="L412:M415" si="253">+L413</f>
        <v>0</v>
      </c>
      <c r="M412" s="156">
        <f t="shared" si="253"/>
        <v>9252949350</v>
      </c>
    </row>
    <row r="413" spans="2:13" ht="15" customHeight="1" x14ac:dyDescent="0.2">
      <c r="B413" s="16"/>
      <c r="C413" s="16"/>
      <c r="D413" s="16"/>
      <c r="E413" s="16"/>
      <c r="F413" s="16"/>
      <c r="G413" s="16"/>
      <c r="H413" s="21" t="s">
        <v>487</v>
      </c>
      <c r="I413" s="18"/>
      <c r="J413" s="22" t="s">
        <v>166</v>
      </c>
      <c r="K413" s="157">
        <f>+K414</f>
        <v>9252949350</v>
      </c>
      <c r="L413" s="157">
        <f t="shared" si="253"/>
        <v>0</v>
      </c>
      <c r="M413" s="157">
        <f t="shared" si="253"/>
        <v>9252949350</v>
      </c>
    </row>
    <row r="414" spans="2:13" ht="15" customHeight="1" x14ac:dyDescent="0.2">
      <c r="B414" s="16"/>
      <c r="C414" s="16"/>
      <c r="D414" s="16"/>
      <c r="E414" s="16"/>
      <c r="F414" s="16"/>
      <c r="G414" s="16"/>
      <c r="H414" s="21" t="s">
        <v>488</v>
      </c>
      <c r="I414" s="18"/>
      <c r="J414" s="22" t="s">
        <v>442</v>
      </c>
      <c r="K414" s="157">
        <f>+K415</f>
        <v>9252949350</v>
      </c>
      <c r="L414" s="157">
        <f t="shared" si="253"/>
        <v>0</v>
      </c>
      <c r="M414" s="157">
        <f t="shared" si="253"/>
        <v>9252949350</v>
      </c>
    </row>
    <row r="415" spans="2:13" ht="15" customHeight="1" x14ac:dyDescent="0.2">
      <c r="B415" s="16"/>
      <c r="C415" s="16"/>
      <c r="D415" s="16"/>
      <c r="E415" s="16"/>
      <c r="F415" s="16"/>
      <c r="G415" s="16"/>
      <c r="H415" s="21" t="s">
        <v>489</v>
      </c>
      <c r="I415" s="18"/>
      <c r="J415" s="22" t="s">
        <v>490</v>
      </c>
      <c r="K415" s="157">
        <f>+K416</f>
        <v>9252949350</v>
      </c>
      <c r="L415" s="157">
        <f t="shared" si="253"/>
        <v>0</v>
      </c>
      <c r="M415" s="157">
        <f t="shared" si="253"/>
        <v>9252949350</v>
      </c>
    </row>
    <row r="416" spans="2:13" ht="15" customHeight="1" x14ac:dyDescent="0.2">
      <c r="B416" s="16" t="s">
        <v>1002</v>
      </c>
      <c r="C416" s="16" t="s">
        <v>1006</v>
      </c>
      <c r="D416" s="16" t="s">
        <v>1049</v>
      </c>
      <c r="E416" s="16" t="s">
        <v>1017</v>
      </c>
      <c r="F416" s="16" t="s">
        <v>1022</v>
      </c>
      <c r="G416" s="16" t="s">
        <v>1025</v>
      </c>
      <c r="H416" s="21" t="s">
        <v>491</v>
      </c>
      <c r="I416" s="18" t="str">
        <f>RIGHT(H416,4)</f>
        <v>- 30</v>
      </c>
      <c r="J416" s="22" t="s">
        <v>490</v>
      </c>
      <c r="K416" s="23">
        <v>9252949350</v>
      </c>
      <c r="L416" s="23"/>
      <c r="M416" s="126">
        <f>+Tabla13[[#This Row],[PF INICIAL]]+Tabla13[[#This Row],[AJUSTE 1]]</f>
        <v>9252949350</v>
      </c>
    </row>
    <row r="417" spans="2:13" s="13" customFormat="1" ht="15.75" customHeight="1" x14ac:dyDescent="0.25">
      <c r="B417" s="24"/>
      <c r="C417" s="24"/>
      <c r="D417" s="24"/>
      <c r="E417" s="24"/>
      <c r="F417" s="24"/>
      <c r="G417" s="24"/>
      <c r="H417" s="17" t="s">
        <v>492</v>
      </c>
      <c r="I417" s="18"/>
      <c r="J417" s="19" t="s">
        <v>195</v>
      </c>
      <c r="K417" s="156">
        <f>+K418</f>
        <v>3182591748</v>
      </c>
      <c r="L417" s="156">
        <f t="shared" ref="L417:M418" si="254">+L418</f>
        <v>0</v>
      </c>
      <c r="M417" s="156">
        <f t="shared" si="254"/>
        <v>3182591748</v>
      </c>
    </row>
    <row r="418" spans="2:13" ht="30" customHeight="1" x14ac:dyDescent="0.2">
      <c r="B418" s="16"/>
      <c r="C418" s="16"/>
      <c r="D418" s="16"/>
      <c r="E418" s="16"/>
      <c r="F418" s="16"/>
      <c r="G418" s="16"/>
      <c r="H418" s="21" t="s">
        <v>493</v>
      </c>
      <c r="I418" s="18"/>
      <c r="J418" s="22" t="s">
        <v>197</v>
      </c>
      <c r="K418" s="157">
        <f>+K419</f>
        <v>3182591748</v>
      </c>
      <c r="L418" s="157">
        <f t="shared" si="254"/>
        <v>0</v>
      </c>
      <c r="M418" s="157">
        <f t="shared" si="254"/>
        <v>3182591748</v>
      </c>
    </row>
    <row r="419" spans="2:13" ht="30" customHeight="1" x14ac:dyDescent="0.2">
      <c r="B419" s="16"/>
      <c r="C419" s="16"/>
      <c r="D419" s="16"/>
      <c r="E419" s="16"/>
      <c r="F419" s="16"/>
      <c r="G419" s="16"/>
      <c r="H419" s="21" t="s">
        <v>494</v>
      </c>
      <c r="I419" s="18"/>
      <c r="J419" s="22" t="s">
        <v>199</v>
      </c>
      <c r="K419" s="157">
        <f>+K420+K425</f>
        <v>3182591748</v>
      </c>
      <c r="L419" s="157">
        <f t="shared" ref="L419" si="255">+L420+L425</f>
        <v>0</v>
      </c>
      <c r="M419" s="157">
        <f t="shared" ref="M419" si="256">+M420+M425</f>
        <v>3182591748</v>
      </c>
    </row>
    <row r="420" spans="2:13" ht="15" customHeight="1" x14ac:dyDescent="0.2">
      <c r="B420" s="16"/>
      <c r="C420" s="16"/>
      <c r="D420" s="16"/>
      <c r="E420" s="16"/>
      <c r="F420" s="16"/>
      <c r="G420" s="16"/>
      <c r="H420" s="21" t="s">
        <v>495</v>
      </c>
      <c r="I420" s="18"/>
      <c r="J420" s="22" t="s">
        <v>201</v>
      </c>
      <c r="K420" s="157">
        <f>+K421+K423</f>
        <v>175245118</v>
      </c>
      <c r="L420" s="157">
        <f t="shared" ref="L420" si="257">+L421+L423</f>
        <v>0</v>
      </c>
      <c r="M420" s="157">
        <f t="shared" ref="M420" si="258">+M421+M423</f>
        <v>175245118</v>
      </c>
    </row>
    <row r="421" spans="2:13" ht="30" customHeight="1" x14ac:dyDescent="0.2">
      <c r="B421" s="16"/>
      <c r="C421" s="16"/>
      <c r="D421" s="16"/>
      <c r="E421" s="16"/>
      <c r="F421" s="16"/>
      <c r="G421" s="16"/>
      <c r="H421" s="21" t="s">
        <v>496</v>
      </c>
      <c r="I421" s="18"/>
      <c r="J421" s="22" t="s">
        <v>203</v>
      </c>
      <c r="K421" s="157">
        <f>+K422</f>
        <v>124184943</v>
      </c>
      <c r="L421" s="157">
        <f t="shared" ref="L421:M421" si="259">+L422</f>
        <v>0</v>
      </c>
      <c r="M421" s="157">
        <f t="shared" si="259"/>
        <v>124184943</v>
      </c>
    </row>
    <row r="422" spans="2:13" ht="30" customHeight="1" x14ac:dyDescent="0.2">
      <c r="B422" s="16" t="s">
        <v>1002</v>
      </c>
      <c r="C422" s="16" t="s">
        <v>1006</v>
      </c>
      <c r="D422" s="16" t="s">
        <v>1049</v>
      </c>
      <c r="E422" s="16" t="s">
        <v>1021</v>
      </c>
      <c r="F422" s="16" t="s">
        <v>1022</v>
      </c>
      <c r="G422" s="16" t="s">
        <v>1025</v>
      </c>
      <c r="H422" s="21" t="s">
        <v>497</v>
      </c>
      <c r="I422" s="18" t="str">
        <f>RIGHT(H422,4)</f>
        <v xml:space="preserve"> 150</v>
      </c>
      <c r="J422" s="22" t="s">
        <v>203</v>
      </c>
      <c r="K422" s="23">
        <v>124184943</v>
      </c>
      <c r="L422" s="23"/>
      <c r="M422" s="126">
        <f>+Tabla13[[#This Row],[PF INICIAL]]+Tabla13[[#This Row],[AJUSTE 1]]</f>
        <v>124184943</v>
      </c>
    </row>
    <row r="423" spans="2:13" ht="30" customHeight="1" x14ac:dyDescent="0.2">
      <c r="B423" s="16"/>
      <c r="C423" s="16"/>
      <c r="D423" s="16"/>
      <c r="E423" s="16"/>
      <c r="F423" s="16"/>
      <c r="G423" s="16"/>
      <c r="H423" s="21" t="s">
        <v>498</v>
      </c>
      <c r="I423" s="18"/>
      <c r="J423" s="22" t="s">
        <v>207</v>
      </c>
      <c r="K423" s="157">
        <f>+K424</f>
        <v>51060175</v>
      </c>
      <c r="L423" s="157">
        <f t="shared" ref="L423:M423" si="260">+L424</f>
        <v>0</v>
      </c>
      <c r="M423" s="157">
        <f t="shared" si="260"/>
        <v>51060175</v>
      </c>
    </row>
    <row r="424" spans="2:13" ht="30" customHeight="1" x14ac:dyDescent="0.2">
      <c r="B424" s="16" t="s">
        <v>1002</v>
      </c>
      <c r="C424" s="16" t="s">
        <v>1006</v>
      </c>
      <c r="D424" s="16" t="s">
        <v>1049</v>
      </c>
      <c r="E424" s="16" t="s">
        <v>1021</v>
      </c>
      <c r="F424" s="16" t="s">
        <v>1022</v>
      </c>
      <c r="G424" s="16" t="s">
        <v>1025</v>
      </c>
      <c r="H424" s="21" t="s">
        <v>499</v>
      </c>
      <c r="I424" s="18" t="str">
        <f>RIGHT(H424,4)</f>
        <v xml:space="preserve"> 150</v>
      </c>
      <c r="J424" s="22" t="s">
        <v>207</v>
      </c>
      <c r="K424" s="23">
        <v>51060175</v>
      </c>
      <c r="L424" s="23"/>
      <c r="M424" s="126">
        <f>+Tabla13[[#This Row],[PF INICIAL]]+Tabla13[[#This Row],[AJUSTE 1]]</f>
        <v>51060175</v>
      </c>
    </row>
    <row r="425" spans="2:13" ht="15" customHeight="1" x14ac:dyDescent="0.2">
      <c r="B425" s="16"/>
      <c r="C425" s="16"/>
      <c r="D425" s="16"/>
      <c r="E425" s="16"/>
      <c r="F425" s="16"/>
      <c r="G425" s="16"/>
      <c r="H425" s="21" t="s">
        <v>500</v>
      </c>
      <c r="I425" s="18"/>
      <c r="J425" s="22" t="s">
        <v>211</v>
      </c>
      <c r="K425" s="157">
        <f>+K426</f>
        <v>3007346630</v>
      </c>
      <c r="L425" s="157">
        <f t="shared" ref="L425:M425" si="261">+L426</f>
        <v>0</v>
      </c>
      <c r="M425" s="157">
        <f t="shared" si="261"/>
        <v>3007346630</v>
      </c>
    </row>
    <row r="426" spans="2:13" ht="15" customHeight="1" x14ac:dyDescent="0.2">
      <c r="B426" s="16"/>
      <c r="C426" s="16"/>
      <c r="D426" s="16"/>
      <c r="E426" s="16"/>
      <c r="F426" s="16"/>
      <c r="G426" s="16"/>
      <c r="H426" s="21" t="s">
        <v>501</v>
      </c>
      <c r="I426" s="18"/>
      <c r="J426" s="22" t="s">
        <v>213</v>
      </c>
      <c r="K426" s="157">
        <f>+K427+K429</f>
        <v>3007346630</v>
      </c>
      <c r="L426" s="157">
        <f t="shared" ref="L426" si="262">+L427+L429</f>
        <v>0</v>
      </c>
      <c r="M426" s="157">
        <f t="shared" ref="M426" si="263">+M427+M429</f>
        <v>3007346630</v>
      </c>
    </row>
    <row r="427" spans="2:13" ht="30" customHeight="1" x14ac:dyDescent="0.2">
      <c r="B427" s="16"/>
      <c r="C427" s="16"/>
      <c r="D427" s="16"/>
      <c r="E427" s="16"/>
      <c r="F427" s="16"/>
      <c r="G427" s="16"/>
      <c r="H427" s="21" t="s">
        <v>502</v>
      </c>
      <c r="I427" s="18"/>
      <c r="J427" s="22" t="s">
        <v>215</v>
      </c>
      <c r="K427" s="157">
        <f>+K428</f>
        <v>1995824348</v>
      </c>
      <c r="L427" s="157">
        <f t="shared" ref="L427:M427" si="264">+L428</f>
        <v>0</v>
      </c>
      <c r="M427" s="157">
        <f t="shared" si="264"/>
        <v>1995824348</v>
      </c>
    </row>
    <row r="428" spans="2:13" ht="30" customHeight="1" x14ac:dyDescent="0.2">
      <c r="B428" s="16" t="s">
        <v>1002</v>
      </c>
      <c r="C428" s="16" t="s">
        <v>1006</v>
      </c>
      <c r="D428" s="16" t="s">
        <v>1049</v>
      </c>
      <c r="E428" s="16" t="s">
        <v>1021</v>
      </c>
      <c r="F428" s="16" t="s">
        <v>1022</v>
      </c>
      <c r="G428" s="16" t="s">
        <v>1025</v>
      </c>
      <c r="H428" s="21" t="s">
        <v>503</v>
      </c>
      <c r="I428" s="18" t="str">
        <f>RIGHT(H428,4)</f>
        <v xml:space="preserve"> 150</v>
      </c>
      <c r="J428" s="22" t="s">
        <v>215</v>
      </c>
      <c r="K428" s="23">
        <v>1995824348</v>
      </c>
      <c r="L428" s="23"/>
      <c r="M428" s="126">
        <f>+Tabla13[[#This Row],[PF INICIAL]]+Tabla13[[#This Row],[AJUSTE 1]]</f>
        <v>1995824348</v>
      </c>
    </row>
    <row r="429" spans="2:13" ht="30" customHeight="1" x14ac:dyDescent="0.2">
      <c r="B429" s="16"/>
      <c r="C429" s="16"/>
      <c r="D429" s="16"/>
      <c r="E429" s="16"/>
      <c r="F429" s="16"/>
      <c r="G429" s="16"/>
      <c r="H429" s="21" t="s">
        <v>504</v>
      </c>
      <c r="I429" s="18"/>
      <c r="J429" s="22" t="s">
        <v>219</v>
      </c>
      <c r="K429" s="157">
        <f>+K430</f>
        <v>1011522282</v>
      </c>
      <c r="L429" s="157">
        <f t="shared" ref="L429:M430" si="265">+L430</f>
        <v>0</v>
      </c>
      <c r="M429" s="157">
        <f t="shared" si="265"/>
        <v>1011522282</v>
      </c>
    </row>
    <row r="430" spans="2:13" ht="30" customHeight="1" x14ac:dyDescent="0.2">
      <c r="B430" s="16"/>
      <c r="C430" s="16"/>
      <c r="D430" s="16"/>
      <c r="E430" s="16"/>
      <c r="F430" s="16"/>
      <c r="G430" s="16"/>
      <c r="H430" s="21" t="s">
        <v>505</v>
      </c>
      <c r="I430" s="18"/>
      <c r="J430" s="22" t="s">
        <v>221</v>
      </c>
      <c r="K430" s="157">
        <f>+K431</f>
        <v>1011522282</v>
      </c>
      <c r="L430" s="157">
        <f t="shared" si="265"/>
        <v>0</v>
      </c>
      <c r="M430" s="157">
        <f t="shared" si="265"/>
        <v>1011522282</v>
      </c>
    </row>
    <row r="431" spans="2:13" ht="30" customHeight="1" x14ac:dyDescent="0.2">
      <c r="B431" s="16" t="s">
        <v>1002</v>
      </c>
      <c r="C431" s="16" t="s">
        <v>1006</v>
      </c>
      <c r="D431" s="16" t="s">
        <v>1049</v>
      </c>
      <c r="E431" s="16" t="s">
        <v>1021</v>
      </c>
      <c r="F431" s="16" t="s">
        <v>1022</v>
      </c>
      <c r="G431" s="16" t="s">
        <v>1025</v>
      </c>
      <c r="H431" s="21" t="s">
        <v>506</v>
      </c>
      <c r="I431" s="18" t="str">
        <f>RIGHT(H431,4)</f>
        <v xml:space="preserve"> 150</v>
      </c>
      <c r="J431" s="22" t="s">
        <v>221</v>
      </c>
      <c r="K431" s="23">
        <v>1011522282</v>
      </c>
      <c r="L431" s="23"/>
      <c r="M431" s="126">
        <f>+Tabla13[[#This Row],[PF INICIAL]]+Tabla13[[#This Row],[AJUSTE 1]]</f>
        <v>1011522282</v>
      </c>
    </row>
    <row r="432" spans="2:13" s="13" customFormat="1" ht="15.75" customHeight="1" x14ac:dyDescent="0.25">
      <c r="B432" s="24"/>
      <c r="C432" s="24"/>
      <c r="D432" s="24"/>
      <c r="E432" s="24"/>
      <c r="F432" s="24"/>
      <c r="G432" s="24"/>
      <c r="H432" s="17" t="s">
        <v>507</v>
      </c>
      <c r="I432" s="18"/>
      <c r="J432" s="19" t="s">
        <v>225</v>
      </c>
      <c r="K432" s="156">
        <f>+K433+K438+K451</f>
        <v>0</v>
      </c>
      <c r="L432" s="156">
        <f t="shared" ref="L432" si="266">+L433+L438+L451</f>
        <v>0</v>
      </c>
      <c r="M432" s="156">
        <f t="shared" ref="M432" si="267">+M433+M438+M451</f>
        <v>0</v>
      </c>
    </row>
    <row r="433" spans="2:13" s="13" customFormat="1" ht="15.75" customHeight="1" x14ac:dyDescent="0.25">
      <c r="B433" s="24"/>
      <c r="C433" s="24"/>
      <c r="D433" s="24"/>
      <c r="E433" s="24"/>
      <c r="F433" s="24"/>
      <c r="G433" s="24"/>
      <c r="H433" s="17" t="s">
        <v>508</v>
      </c>
      <c r="I433" s="18"/>
      <c r="J433" s="19" t="s">
        <v>239</v>
      </c>
      <c r="K433" s="156">
        <f>+K434</f>
        <v>0</v>
      </c>
      <c r="L433" s="156">
        <f t="shared" ref="L433:M433" si="268">+L434</f>
        <v>0</v>
      </c>
      <c r="M433" s="156">
        <f t="shared" si="268"/>
        <v>0</v>
      </c>
    </row>
    <row r="434" spans="2:13" s="13" customFormat="1" ht="15.75" customHeight="1" x14ac:dyDescent="0.25">
      <c r="B434" s="24"/>
      <c r="C434" s="24"/>
      <c r="D434" s="24"/>
      <c r="E434" s="24"/>
      <c r="F434" s="24"/>
      <c r="G434" s="24"/>
      <c r="H434" s="17" t="s">
        <v>509</v>
      </c>
      <c r="I434" s="18"/>
      <c r="J434" s="19" t="s">
        <v>241</v>
      </c>
      <c r="K434" s="156">
        <f>SUM(K435:K437)</f>
        <v>0</v>
      </c>
      <c r="L434" s="156">
        <f t="shared" ref="L434" si="269">SUM(L435:L437)</f>
        <v>0</v>
      </c>
      <c r="M434" s="156">
        <f t="shared" ref="M434" si="270">SUM(M435:M437)</f>
        <v>0</v>
      </c>
    </row>
    <row r="435" spans="2:13" ht="15" customHeight="1" x14ac:dyDescent="0.2">
      <c r="B435" s="16" t="s">
        <v>1002</v>
      </c>
      <c r="C435" s="16" t="s">
        <v>1006</v>
      </c>
      <c r="D435" s="16" t="s">
        <v>1049</v>
      </c>
      <c r="E435" s="16" t="s">
        <v>1021</v>
      </c>
      <c r="F435" s="16" t="s">
        <v>1023</v>
      </c>
      <c r="G435" s="16" t="s">
        <v>1028</v>
      </c>
      <c r="H435" s="21" t="s">
        <v>510</v>
      </c>
      <c r="I435" s="18" t="str">
        <f>RIGHT(H435,4)</f>
        <v>150F</v>
      </c>
      <c r="J435" s="22" t="s">
        <v>241</v>
      </c>
      <c r="K435" s="23">
        <v>0</v>
      </c>
      <c r="L435" s="23"/>
      <c r="M435" s="126">
        <f>+Tabla13[[#This Row],[PF INICIAL]]+Tabla13[[#This Row],[AJUSTE 1]]</f>
        <v>0</v>
      </c>
    </row>
    <row r="436" spans="2:13" ht="15" customHeight="1" x14ac:dyDescent="0.2">
      <c r="B436" s="16" t="s">
        <v>1002</v>
      </c>
      <c r="C436" s="16" t="s">
        <v>1006</v>
      </c>
      <c r="D436" s="16" t="s">
        <v>1049</v>
      </c>
      <c r="E436" s="16" t="s">
        <v>1021</v>
      </c>
      <c r="F436" s="16" t="s">
        <v>1023</v>
      </c>
      <c r="G436" s="16" t="s">
        <v>1028</v>
      </c>
      <c r="H436" s="21" t="s">
        <v>511</v>
      </c>
      <c r="I436" s="18" t="str">
        <f>RIGHT(H436,4)</f>
        <v xml:space="preserve"> 29F</v>
      </c>
      <c r="J436" s="22" t="s">
        <v>241</v>
      </c>
      <c r="K436" s="23">
        <v>0</v>
      </c>
      <c r="L436" s="23"/>
      <c r="M436" s="126">
        <f>+Tabla13[[#This Row],[PF INICIAL]]+Tabla13[[#This Row],[AJUSTE 1]]</f>
        <v>0</v>
      </c>
    </row>
    <row r="437" spans="2:13" ht="15" customHeight="1" x14ac:dyDescent="0.2">
      <c r="B437" s="16" t="s">
        <v>1002</v>
      </c>
      <c r="C437" s="16" t="s">
        <v>1006</v>
      </c>
      <c r="D437" s="16" t="s">
        <v>1049</v>
      </c>
      <c r="E437" s="16" t="s">
        <v>1017</v>
      </c>
      <c r="F437" s="16" t="s">
        <v>1023</v>
      </c>
      <c r="G437" s="16" t="s">
        <v>1028</v>
      </c>
      <c r="H437" s="21" t="s">
        <v>512</v>
      </c>
      <c r="I437" s="18" t="str">
        <f>RIGHT(H437,4)</f>
        <v xml:space="preserve"> 30F</v>
      </c>
      <c r="J437" s="22" t="s">
        <v>241</v>
      </c>
      <c r="K437" s="23">
        <v>0</v>
      </c>
      <c r="L437" s="23"/>
      <c r="M437" s="126">
        <f>+Tabla13[[#This Row],[PF INICIAL]]+Tabla13[[#This Row],[AJUSTE 1]]</f>
        <v>0</v>
      </c>
    </row>
    <row r="438" spans="2:13" s="13" customFormat="1" ht="15.75" customHeight="1" x14ac:dyDescent="0.25">
      <c r="B438" s="24"/>
      <c r="C438" s="24"/>
      <c r="D438" s="24"/>
      <c r="E438" s="24"/>
      <c r="F438" s="24"/>
      <c r="G438" s="24"/>
      <c r="H438" s="17" t="s">
        <v>513</v>
      </c>
      <c r="I438" s="18"/>
      <c r="J438" s="19" t="s">
        <v>267</v>
      </c>
      <c r="K438" s="156">
        <f>+K439</f>
        <v>0</v>
      </c>
      <c r="L438" s="156">
        <f t="shared" ref="L438:M438" si="271">+L439</f>
        <v>0</v>
      </c>
      <c r="M438" s="156">
        <f t="shared" si="271"/>
        <v>0</v>
      </c>
    </row>
    <row r="439" spans="2:13" s="13" customFormat="1" ht="15.75" customHeight="1" x14ac:dyDescent="0.25">
      <c r="B439" s="24"/>
      <c r="C439" s="24"/>
      <c r="D439" s="24"/>
      <c r="E439" s="24"/>
      <c r="F439" s="24"/>
      <c r="G439" s="24"/>
      <c r="H439" s="17" t="s">
        <v>514</v>
      </c>
      <c r="I439" s="18"/>
      <c r="J439" s="19" t="s">
        <v>271</v>
      </c>
      <c r="K439" s="156">
        <f>SUM(K440:K450)</f>
        <v>0</v>
      </c>
      <c r="L439" s="156">
        <f t="shared" ref="L439" si="272">SUM(L440:L450)</f>
        <v>0</v>
      </c>
      <c r="M439" s="156">
        <f t="shared" ref="M439" si="273">SUM(M440:M450)</f>
        <v>0</v>
      </c>
    </row>
    <row r="440" spans="2:13" ht="15" customHeight="1" x14ac:dyDescent="0.2">
      <c r="B440" s="16" t="s">
        <v>1002</v>
      </c>
      <c r="C440" s="16" t="s">
        <v>1006</v>
      </c>
      <c r="D440" s="16" t="s">
        <v>1049</v>
      </c>
      <c r="E440" s="16" t="s">
        <v>1021</v>
      </c>
      <c r="F440" s="16" t="s">
        <v>1023</v>
      </c>
      <c r="G440" s="16" t="s">
        <v>1030</v>
      </c>
      <c r="H440" s="21" t="s">
        <v>738</v>
      </c>
      <c r="I440" s="18" t="str">
        <f t="shared" ref="I440:I450" si="274">RIGHT(H440,4)</f>
        <v>103A</v>
      </c>
      <c r="J440" s="22" t="s">
        <v>271</v>
      </c>
      <c r="K440" s="23"/>
      <c r="L440" s="23"/>
      <c r="M440" s="126">
        <f>+Tabla13[[#This Row],[PF INICIAL]]+Tabla13[[#This Row],[AJUSTE 1]]</f>
        <v>0</v>
      </c>
    </row>
    <row r="441" spans="2:13" ht="15" customHeight="1" x14ac:dyDescent="0.2">
      <c r="B441" s="16" t="s">
        <v>1002</v>
      </c>
      <c r="C441" s="16" t="s">
        <v>1006</v>
      </c>
      <c r="D441" s="16" t="s">
        <v>1049</v>
      </c>
      <c r="E441" s="16" t="s">
        <v>1021</v>
      </c>
      <c r="F441" s="16" t="s">
        <v>1023</v>
      </c>
      <c r="G441" s="16" t="s">
        <v>1030</v>
      </c>
      <c r="H441" s="21" t="s">
        <v>739</v>
      </c>
      <c r="I441" s="18" t="str">
        <f t="shared" si="274"/>
        <v>103R</v>
      </c>
      <c r="J441" s="22" t="s">
        <v>271</v>
      </c>
      <c r="K441" s="23"/>
      <c r="L441" s="23"/>
      <c r="M441" s="126">
        <f>+Tabla13[[#This Row],[PF INICIAL]]+Tabla13[[#This Row],[AJUSTE 1]]</f>
        <v>0</v>
      </c>
    </row>
    <row r="442" spans="2:13" ht="15" customHeight="1" x14ac:dyDescent="0.2">
      <c r="B442" s="16" t="s">
        <v>1002</v>
      </c>
      <c r="C442" s="16" t="s">
        <v>1006</v>
      </c>
      <c r="D442" s="16" t="s">
        <v>1049</v>
      </c>
      <c r="E442" s="16" t="s">
        <v>1021</v>
      </c>
      <c r="F442" s="16" t="s">
        <v>1023</v>
      </c>
      <c r="G442" s="16" t="s">
        <v>1030</v>
      </c>
      <c r="H442" s="21" t="s">
        <v>740</v>
      </c>
      <c r="I442" s="18" t="str">
        <f t="shared" si="274"/>
        <v>149R</v>
      </c>
      <c r="J442" s="22" t="s">
        <v>271</v>
      </c>
      <c r="K442" s="23"/>
      <c r="L442" s="23"/>
      <c r="M442" s="126">
        <f>+Tabla13[[#This Row],[PF INICIAL]]+Tabla13[[#This Row],[AJUSTE 1]]</f>
        <v>0</v>
      </c>
    </row>
    <row r="443" spans="2:13" ht="15" customHeight="1" x14ac:dyDescent="0.2">
      <c r="B443" s="16" t="s">
        <v>1002</v>
      </c>
      <c r="C443" s="16" t="s">
        <v>1006</v>
      </c>
      <c r="D443" s="16" t="s">
        <v>1049</v>
      </c>
      <c r="E443" s="16" t="s">
        <v>1021</v>
      </c>
      <c r="F443" s="16" t="s">
        <v>1023</v>
      </c>
      <c r="G443" s="16" t="s">
        <v>1030</v>
      </c>
      <c r="H443" s="21" t="s">
        <v>741</v>
      </c>
      <c r="I443" s="18" t="str">
        <f t="shared" si="274"/>
        <v>150R</v>
      </c>
      <c r="J443" s="22" t="s">
        <v>271</v>
      </c>
      <c r="K443" s="23"/>
      <c r="L443" s="23"/>
      <c r="M443" s="126">
        <f>+Tabla13[[#This Row],[PF INICIAL]]+Tabla13[[#This Row],[AJUSTE 1]]</f>
        <v>0</v>
      </c>
    </row>
    <row r="444" spans="2:13" ht="15" customHeight="1" x14ac:dyDescent="0.2">
      <c r="B444" s="16" t="s">
        <v>1002</v>
      </c>
      <c r="C444" s="16" t="s">
        <v>1006</v>
      </c>
      <c r="D444" s="16" t="s">
        <v>1049</v>
      </c>
      <c r="E444" s="16" t="s">
        <v>1021</v>
      </c>
      <c r="F444" s="16" t="s">
        <v>1023</v>
      </c>
      <c r="G444" s="16" t="s">
        <v>1030</v>
      </c>
      <c r="H444" s="21" t="s">
        <v>742</v>
      </c>
      <c r="I444" s="18" t="str">
        <f t="shared" si="274"/>
        <v>29RB</v>
      </c>
      <c r="J444" s="22" t="s">
        <v>271</v>
      </c>
      <c r="K444" s="23"/>
      <c r="L444" s="23"/>
      <c r="M444" s="126">
        <f>+Tabla13[[#This Row],[PF INICIAL]]+Tabla13[[#This Row],[AJUSTE 1]]</f>
        <v>0</v>
      </c>
    </row>
    <row r="445" spans="2:13" ht="15" customHeight="1" x14ac:dyDescent="0.2">
      <c r="B445" s="16" t="s">
        <v>1002</v>
      </c>
      <c r="C445" s="16" t="s">
        <v>1006</v>
      </c>
      <c r="D445" s="16" t="s">
        <v>1049</v>
      </c>
      <c r="E445" s="16" t="s">
        <v>1017</v>
      </c>
      <c r="F445" s="16" t="s">
        <v>1023</v>
      </c>
      <c r="G445" s="16" t="s">
        <v>1030</v>
      </c>
      <c r="H445" s="21" t="s">
        <v>743</v>
      </c>
      <c r="I445" s="18" t="str">
        <f t="shared" si="274"/>
        <v>30RB</v>
      </c>
      <c r="J445" s="22" t="s">
        <v>271</v>
      </c>
      <c r="K445" s="23"/>
      <c r="L445" s="23"/>
      <c r="M445" s="126">
        <f>+Tabla13[[#This Row],[PF INICIAL]]+Tabla13[[#This Row],[AJUSTE 1]]</f>
        <v>0</v>
      </c>
    </row>
    <row r="446" spans="2:13" ht="15" customHeight="1" x14ac:dyDescent="0.2">
      <c r="B446" s="16" t="s">
        <v>1002</v>
      </c>
      <c r="C446" s="16" t="s">
        <v>1006</v>
      </c>
      <c r="D446" s="16" t="s">
        <v>1049</v>
      </c>
      <c r="E446" s="16" t="s">
        <v>1021</v>
      </c>
      <c r="F446" s="16" t="s">
        <v>1023</v>
      </c>
      <c r="G446" s="16" t="s">
        <v>1030</v>
      </c>
      <c r="H446" s="21" t="s">
        <v>744</v>
      </c>
      <c r="I446" s="18" t="str">
        <f t="shared" si="274"/>
        <v>70RB</v>
      </c>
      <c r="J446" s="22" t="s">
        <v>271</v>
      </c>
      <c r="K446" s="23"/>
      <c r="L446" s="23"/>
      <c r="M446" s="126">
        <f>+Tabla13[[#This Row],[PF INICIAL]]+Tabla13[[#This Row],[AJUSTE 1]]</f>
        <v>0</v>
      </c>
    </row>
    <row r="447" spans="2:13" ht="15" customHeight="1" x14ac:dyDescent="0.2">
      <c r="B447" s="16" t="s">
        <v>1002</v>
      </c>
      <c r="C447" s="16" t="s">
        <v>1006</v>
      </c>
      <c r="D447" s="16" t="s">
        <v>1049</v>
      </c>
      <c r="E447" s="16" t="s">
        <v>1021</v>
      </c>
      <c r="F447" s="16" t="s">
        <v>1023</v>
      </c>
      <c r="G447" s="16" t="s">
        <v>1030</v>
      </c>
      <c r="H447" s="21" t="s">
        <v>745</v>
      </c>
      <c r="I447" s="18" t="str">
        <f t="shared" si="274"/>
        <v>71RB</v>
      </c>
      <c r="J447" s="22" t="s">
        <v>271</v>
      </c>
      <c r="K447" s="23"/>
      <c r="L447" s="23"/>
      <c r="M447" s="126">
        <f>+Tabla13[[#This Row],[PF INICIAL]]+Tabla13[[#This Row],[AJUSTE 1]]</f>
        <v>0</v>
      </c>
    </row>
    <row r="448" spans="2:13" ht="15" customHeight="1" x14ac:dyDescent="0.2">
      <c r="B448" s="16" t="s">
        <v>1002</v>
      </c>
      <c r="C448" s="16" t="s">
        <v>1006</v>
      </c>
      <c r="D448" s="16" t="s">
        <v>1049</v>
      </c>
      <c r="E448" s="16" t="s">
        <v>1021</v>
      </c>
      <c r="F448" s="16" t="s">
        <v>1023</v>
      </c>
      <c r="G448" s="16" t="s">
        <v>1030</v>
      </c>
      <c r="H448" s="21" t="s">
        <v>746</v>
      </c>
      <c r="I448" s="18" t="str">
        <f t="shared" si="274"/>
        <v>72RB</v>
      </c>
      <c r="J448" s="22" t="s">
        <v>271</v>
      </c>
      <c r="K448" s="23"/>
      <c r="L448" s="23"/>
      <c r="M448" s="126">
        <f>+Tabla13[[#This Row],[PF INICIAL]]+Tabla13[[#This Row],[AJUSTE 1]]</f>
        <v>0</v>
      </c>
    </row>
    <row r="449" spans="2:13" ht="15" customHeight="1" x14ac:dyDescent="0.2">
      <c r="B449" s="16" t="s">
        <v>1002</v>
      </c>
      <c r="C449" s="16" t="s">
        <v>1006</v>
      </c>
      <c r="D449" s="16" t="s">
        <v>1049</v>
      </c>
      <c r="E449" s="16" t="s">
        <v>1021</v>
      </c>
      <c r="F449" s="16" t="s">
        <v>1023</v>
      </c>
      <c r="G449" s="16" t="s">
        <v>1030</v>
      </c>
      <c r="H449" s="21" t="s">
        <v>747</v>
      </c>
      <c r="I449" s="18" t="str">
        <f t="shared" si="274"/>
        <v>84RB</v>
      </c>
      <c r="J449" s="22" t="s">
        <v>271</v>
      </c>
      <c r="K449" s="23"/>
      <c r="L449" s="23"/>
      <c r="M449" s="126">
        <f>+Tabla13[[#This Row],[PF INICIAL]]+Tabla13[[#This Row],[AJUSTE 1]]</f>
        <v>0</v>
      </c>
    </row>
    <row r="450" spans="2:13" ht="15" customHeight="1" x14ac:dyDescent="0.2">
      <c r="B450" s="16" t="s">
        <v>1002</v>
      </c>
      <c r="C450" s="16" t="s">
        <v>1006</v>
      </c>
      <c r="D450" s="16" t="s">
        <v>1049</v>
      </c>
      <c r="E450" s="16" t="s">
        <v>1021</v>
      </c>
      <c r="F450" s="16" t="s">
        <v>1023</v>
      </c>
      <c r="G450" s="16" t="s">
        <v>1030</v>
      </c>
      <c r="H450" s="21" t="s">
        <v>748</v>
      </c>
      <c r="I450" s="18" t="str">
        <f t="shared" si="274"/>
        <v>89RB</v>
      </c>
      <c r="J450" s="22" t="s">
        <v>271</v>
      </c>
      <c r="K450" s="23"/>
      <c r="L450" s="23"/>
      <c r="M450" s="126">
        <f>+Tabla13[[#This Row],[PF INICIAL]]+Tabla13[[#This Row],[AJUSTE 1]]</f>
        <v>0</v>
      </c>
    </row>
    <row r="451" spans="2:13" s="13" customFormat="1" ht="15.75" customHeight="1" x14ac:dyDescent="0.25">
      <c r="B451" s="24"/>
      <c r="C451" s="24"/>
      <c r="D451" s="24"/>
      <c r="E451" s="24"/>
      <c r="F451" s="24"/>
      <c r="G451" s="24"/>
      <c r="H451" s="17" t="s">
        <v>515</v>
      </c>
      <c r="I451" s="18"/>
      <c r="J451" s="19" t="s">
        <v>273</v>
      </c>
      <c r="K451" s="156">
        <f>+K452</f>
        <v>0</v>
      </c>
      <c r="L451" s="156">
        <f t="shared" ref="L451:M452" si="275">+L452</f>
        <v>0</v>
      </c>
      <c r="M451" s="156">
        <f t="shared" si="275"/>
        <v>0</v>
      </c>
    </row>
    <row r="452" spans="2:13" s="13" customFormat="1" ht="15.75" customHeight="1" x14ac:dyDescent="0.25">
      <c r="B452" s="24"/>
      <c r="C452" s="24"/>
      <c r="D452" s="24"/>
      <c r="E452" s="24"/>
      <c r="F452" s="24"/>
      <c r="G452" s="24"/>
      <c r="H452" s="17" t="s">
        <v>516</v>
      </c>
      <c r="I452" s="18"/>
      <c r="J452" s="19" t="s">
        <v>275</v>
      </c>
      <c r="K452" s="156">
        <f>+K453</f>
        <v>0</v>
      </c>
      <c r="L452" s="156">
        <f t="shared" si="275"/>
        <v>0</v>
      </c>
      <c r="M452" s="156">
        <f t="shared" si="275"/>
        <v>0</v>
      </c>
    </row>
    <row r="453" spans="2:13" ht="15" customHeight="1" x14ac:dyDescent="0.2">
      <c r="B453" s="16" t="s">
        <v>1002</v>
      </c>
      <c r="C453" s="16" t="s">
        <v>1006</v>
      </c>
      <c r="D453" s="16" t="s">
        <v>1049</v>
      </c>
      <c r="E453" s="16" t="s">
        <v>1017</v>
      </c>
      <c r="F453" s="16" t="s">
        <v>1023</v>
      </c>
      <c r="G453" s="16" t="s">
        <v>1031</v>
      </c>
      <c r="H453" s="21" t="s">
        <v>517</v>
      </c>
      <c r="I453" s="18" t="str">
        <f>RIGHT(H453,4)</f>
        <v>- 30</v>
      </c>
      <c r="J453" s="22" t="s">
        <v>275</v>
      </c>
      <c r="K453" s="23">
        <v>0</v>
      </c>
      <c r="L453" s="23"/>
      <c r="M453" s="126">
        <f>+Tabla13[[#This Row],[PF INICIAL]]+Tabla13[[#This Row],[AJUSTE 1]]</f>
        <v>0</v>
      </c>
    </row>
    <row r="454" spans="2:13" ht="15.75" customHeight="1" x14ac:dyDescent="0.25">
      <c r="B454" s="16"/>
      <c r="C454" s="16"/>
      <c r="D454" s="16"/>
      <c r="E454" s="16"/>
      <c r="F454" s="16"/>
      <c r="G454" s="16"/>
      <c r="H454" s="41" t="s">
        <v>794</v>
      </c>
      <c r="I454" s="42"/>
      <c r="J454" s="19" t="s">
        <v>795</v>
      </c>
      <c r="K454" s="156">
        <f>+K455</f>
        <v>64394687927</v>
      </c>
      <c r="L454" s="156">
        <f t="shared" ref="L454:M454" si="276">+L455</f>
        <v>0</v>
      </c>
      <c r="M454" s="156">
        <f t="shared" si="276"/>
        <v>64394687927</v>
      </c>
    </row>
    <row r="455" spans="2:13" s="13" customFormat="1" ht="15.75" customHeight="1" x14ac:dyDescent="0.25">
      <c r="B455" s="24"/>
      <c r="C455" s="24"/>
      <c r="D455" s="24"/>
      <c r="E455" s="24"/>
      <c r="F455" s="24"/>
      <c r="G455" s="24"/>
      <c r="H455" s="17" t="s">
        <v>518</v>
      </c>
      <c r="I455" s="18"/>
      <c r="J455" s="19" t="s">
        <v>1</v>
      </c>
      <c r="K455" s="156">
        <f>+K456+K514</f>
        <v>64394687927</v>
      </c>
      <c r="L455" s="156">
        <f t="shared" ref="L455" si="277">+L456+L514</f>
        <v>0</v>
      </c>
      <c r="M455" s="156">
        <f t="shared" ref="M455" si="278">+M456+M514</f>
        <v>64394687927</v>
      </c>
    </row>
    <row r="456" spans="2:13" s="13" customFormat="1" ht="15.75" customHeight="1" x14ac:dyDescent="0.25">
      <c r="B456" s="24"/>
      <c r="C456" s="24"/>
      <c r="D456" s="24"/>
      <c r="E456" s="24"/>
      <c r="F456" s="24"/>
      <c r="G456" s="24"/>
      <c r="H456" s="17" t="s">
        <v>519</v>
      </c>
      <c r="I456" s="18"/>
      <c r="J456" s="19" t="s">
        <v>3</v>
      </c>
      <c r="K456" s="156">
        <f>+K457+K488</f>
        <v>62699641878</v>
      </c>
      <c r="L456" s="156">
        <f t="shared" ref="L456" si="279">+L457+L488</f>
        <v>0</v>
      </c>
      <c r="M456" s="156">
        <f t="shared" ref="M456" si="280">+M457+M488</f>
        <v>62699641878</v>
      </c>
    </row>
    <row r="457" spans="2:13" s="13" customFormat="1" ht="15.75" customHeight="1" x14ac:dyDescent="0.25">
      <c r="B457" s="24"/>
      <c r="C457" s="24"/>
      <c r="D457" s="24"/>
      <c r="E457" s="24"/>
      <c r="F457" s="24"/>
      <c r="G457" s="24"/>
      <c r="H457" s="17" t="s">
        <v>520</v>
      </c>
      <c r="I457" s="18"/>
      <c r="J457" s="19" t="s">
        <v>5</v>
      </c>
      <c r="K457" s="156">
        <f>+K458+K461</f>
        <v>46881450025</v>
      </c>
      <c r="L457" s="156">
        <f t="shared" ref="L457" si="281">+L458+L461</f>
        <v>0</v>
      </c>
      <c r="M457" s="156">
        <f t="shared" ref="M457" si="282">+M458+M461</f>
        <v>46881450025</v>
      </c>
    </row>
    <row r="458" spans="2:13" s="13" customFormat="1" ht="15.75" customHeight="1" x14ac:dyDescent="0.25">
      <c r="B458" s="24"/>
      <c r="C458" s="24"/>
      <c r="D458" s="24"/>
      <c r="E458" s="24"/>
      <c r="F458" s="24"/>
      <c r="G458" s="24"/>
      <c r="H458" s="17" t="s">
        <v>521</v>
      </c>
      <c r="I458" s="18"/>
      <c r="J458" s="19" t="s">
        <v>7</v>
      </c>
      <c r="K458" s="156">
        <f>+K459</f>
        <v>708658054</v>
      </c>
      <c r="L458" s="156">
        <f t="shared" ref="L458:M459" si="283">+L459</f>
        <v>0</v>
      </c>
      <c r="M458" s="156">
        <f t="shared" si="283"/>
        <v>708658054</v>
      </c>
    </row>
    <row r="459" spans="2:13" ht="15" customHeight="1" x14ac:dyDescent="0.2">
      <c r="B459" s="16"/>
      <c r="C459" s="16"/>
      <c r="D459" s="16"/>
      <c r="E459" s="16"/>
      <c r="F459" s="16"/>
      <c r="G459" s="16"/>
      <c r="H459" s="21" t="s">
        <v>522</v>
      </c>
      <c r="I459" s="18"/>
      <c r="J459" s="22" t="s">
        <v>331</v>
      </c>
      <c r="K459" s="157">
        <f>+K460</f>
        <v>708658054</v>
      </c>
      <c r="L459" s="157">
        <f t="shared" si="283"/>
        <v>0</v>
      </c>
      <c r="M459" s="157">
        <f t="shared" si="283"/>
        <v>708658054</v>
      </c>
    </row>
    <row r="460" spans="2:13" ht="15" customHeight="1" x14ac:dyDescent="0.2">
      <c r="B460" s="16" t="s">
        <v>1002</v>
      </c>
      <c r="C460" s="16" t="s">
        <v>1006</v>
      </c>
      <c r="D460" s="16" t="s">
        <v>1050</v>
      </c>
      <c r="E460" s="16" t="s">
        <v>1021</v>
      </c>
      <c r="F460" s="16" t="s">
        <v>1022</v>
      </c>
      <c r="G460" s="16" t="s">
        <v>1024</v>
      </c>
      <c r="H460" s="21" t="s">
        <v>523</v>
      </c>
      <c r="I460" s="18" t="str">
        <f>RIGHT(H460,4)</f>
        <v xml:space="preserve"> 71A</v>
      </c>
      <c r="J460" s="22" t="s">
        <v>331</v>
      </c>
      <c r="K460" s="23">
        <v>708658054</v>
      </c>
      <c r="L460" s="23"/>
      <c r="M460" s="126">
        <f>+Tabla13[[#This Row],[PF INICIAL]]+Tabla13[[#This Row],[AJUSTE 1]]</f>
        <v>708658054</v>
      </c>
    </row>
    <row r="461" spans="2:13" s="13" customFormat="1" ht="15.75" customHeight="1" x14ac:dyDescent="0.25">
      <c r="B461" s="24"/>
      <c r="C461" s="24"/>
      <c r="D461" s="24"/>
      <c r="E461" s="24"/>
      <c r="F461" s="24"/>
      <c r="G461" s="24"/>
      <c r="H461" s="17" t="s">
        <v>524</v>
      </c>
      <c r="I461" s="18"/>
      <c r="J461" s="19" t="s">
        <v>14</v>
      </c>
      <c r="K461" s="156">
        <f>+K462+K465+K467+K475+K481</f>
        <v>46172791971</v>
      </c>
      <c r="L461" s="156">
        <f t="shared" ref="L461" si="284">+L462+L465+L467+L475+L481</f>
        <v>0</v>
      </c>
      <c r="M461" s="156">
        <f t="shared" ref="M461" si="285">+M462+M465+M467+M475+M481</f>
        <v>46172791971</v>
      </c>
    </row>
    <row r="462" spans="2:13" ht="15" customHeight="1" x14ac:dyDescent="0.2">
      <c r="B462" s="16"/>
      <c r="C462" s="16"/>
      <c r="D462" s="16"/>
      <c r="E462" s="16"/>
      <c r="F462" s="16"/>
      <c r="G462" s="16"/>
      <c r="H462" s="21" t="s">
        <v>525</v>
      </c>
      <c r="I462" s="18"/>
      <c r="J462" s="22" t="s">
        <v>335</v>
      </c>
      <c r="K462" s="157">
        <f>+K463+K464</f>
        <v>713183269</v>
      </c>
      <c r="L462" s="157">
        <f t="shared" ref="L462" si="286">+L463+L464</f>
        <v>0</v>
      </c>
      <c r="M462" s="157">
        <f t="shared" ref="M462" si="287">+M463+M464</f>
        <v>713183269</v>
      </c>
    </row>
    <row r="463" spans="2:13" ht="15" customHeight="1" x14ac:dyDescent="0.2">
      <c r="B463" s="16" t="s">
        <v>1002</v>
      </c>
      <c r="C463" s="16" t="s">
        <v>1006</v>
      </c>
      <c r="D463" s="16" t="s">
        <v>1050</v>
      </c>
      <c r="E463" s="16" t="s">
        <v>1021</v>
      </c>
      <c r="F463" s="16" t="s">
        <v>1022</v>
      </c>
      <c r="G463" s="16" t="s">
        <v>1025</v>
      </c>
      <c r="H463" s="21" t="s">
        <v>526</v>
      </c>
      <c r="I463" s="18" t="str">
        <f>RIGHT(H463,4)</f>
        <v>- 72</v>
      </c>
      <c r="J463" s="22" t="s">
        <v>335</v>
      </c>
      <c r="K463" s="23">
        <v>0</v>
      </c>
      <c r="L463" s="23"/>
      <c r="M463" s="126">
        <f>+Tabla13[[#This Row],[PF INICIAL]]+Tabla13[[#This Row],[AJUSTE 1]]</f>
        <v>0</v>
      </c>
    </row>
    <row r="464" spans="2:13" ht="15" customHeight="1" x14ac:dyDescent="0.2">
      <c r="B464" s="16" t="s">
        <v>1002</v>
      </c>
      <c r="C464" s="16" t="s">
        <v>1006</v>
      </c>
      <c r="D464" s="16" t="s">
        <v>1050</v>
      </c>
      <c r="E464" s="16" t="s">
        <v>1021</v>
      </c>
      <c r="F464" s="16" t="s">
        <v>1022</v>
      </c>
      <c r="G464" s="16" t="s">
        <v>1025</v>
      </c>
      <c r="H464" s="21" t="s">
        <v>527</v>
      </c>
      <c r="I464" s="18" t="str">
        <f>RIGHT(H464,4)</f>
        <v xml:space="preserve"> 72A</v>
      </c>
      <c r="J464" s="22" t="s">
        <v>335</v>
      </c>
      <c r="K464" s="23">
        <v>713183269</v>
      </c>
      <c r="L464" s="23"/>
      <c r="M464" s="126">
        <f>+Tabla13[[#This Row],[PF INICIAL]]+Tabla13[[#This Row],[AJUSTE 1]]</f>
        <v>713183269</v>
      </c>
    </row>
    <row r="465" spans="2:13" ht="15" customHeight="1" x14ac:dyDescent="0.2">
      <c r="B465" s="16"/>
      <c r="C465" s="16"/>
      <c r="D465" s="16"/>
      <c r="E465" s="16"/>
      <c r="F465" s="16"/>
      <c r="G465" s="16"/>
      <c r="H465" s="21" t="s">
        <v>528</v>
      </c>
      <c r="I465" s="18"/>
      <c r="J465" s="22" t="s">
        <v>338</v>
      </c>
      <c r="K465" s="157">
        <f>+K466</f>
        <v>0</v>
      </c>
      <c r="L465" s="157">
        <f t="shared" ref="L465:M465" si="288">+L466</f>
        <v>0</v>
      </c>
      <c r="M465" s="157">
        <f t="shared" si="288"/>
        <v>0</v>
      </c>
    </row>
    <row r="466" spans="2:13" ht="15" customHeight="1" x14ac:dyDescent="0.2">
      <c r="B466" s="16" t="s">
        <v>1002</v>
      </c>
      <c r="C466" s="16" t="s">
        <v>1006</v>
      </c>
      <c r="D466" s="16" t="s">
        <v>1050</v>
      </c>
      <c r="E466" s="16" t="s">
        <v>1021</v>
      </c>
      <c r="F466" s="16" t="s">
        <v>1022</v>
      </c>
      <c r="G466" s="16" t="s">
        <v>1025</v>
      </c>
      <c r="H466" s="21" t="s">
        <v>529</v>
      </c>
      <c r="I466" s="18" t="str">
        <f>RIGHT(H466,4)</f>
        <v>150A</v>
      </c>
      <c r="J466" s="22" t="s">
        <v>338</v>
      </c>
      <c r="K466" s="23">
        <v>0</v>
      </c>
      <c r="L466" s="23"/>
      <c r="M466" s="126">
        <f>+Tabla13[[#This Row],[PF INICIAL]]+Tabla13[[#This Row],[AJUSTE 1]]</f>
        <v>0</v>
      </c>
    </row>
    <row r="467" spans="2:13" ht="15" customHeight="1" x14ac:dyDescent="0.2">
      <c r="B467" s="16"/>
      <c r="C467" s="16"/>
      <c r="D467" s="16"/>
      <c r="E467" s="16"/>
      <c r="F467" s="16"/>
      <c r="G467" s="16"/>
      <c r="H467" s="21" t="s">
        <v>530</v>
      </c>
      <c r="I467" s="18"/>
      <c r="J467" s="22" t="s">
        <v>29</v>
      </c>
      <c r="K467" s="157">
        <f>+K468</f>
        <v>1230361233</v>
      </c>
      <c r="L467" s="157">
        <f t="shared" ref="L467:M467" si="289">+L468</f>
        <v>0</v>
      </c>
      <c r="M467" s="157">
        <f t="shared" si="289"/>
        <v>1230361233</v>
      </c>
    </row>
    <row r="468" spans="2:13" ht="15" customHeight="1" x14ac:dyDescent="0.2">
      <c r="B468" s="16"/>
      <c r="C468" s="16"/>
      <c r="D468" s="16"/>
      <c r="E468" s="16"/>
      <c r="F468" s="16"/>
      <c r="G468" s="16"/>
      <c r="H468" s="21" t="s">
        <v>531</v>
      </c>
      <c r="I468" s="18"/>
      <c r="J468" s="22" t="s">
        <v>31</v>
      </c>
      <c r="K468" s="157">
        <f>+K469+K472</f>
        <v>1230361233</v>
      </c>
      <c r="L468" s="157">
        <f t="shared" ref="L468" si="290">+L469+L472</f>
        <v>0</v>
      </c>
      <c r="M468" s="157">
        <f t="shared" ref="M468" si="291">+M469+M472</f>
        <v>1230361233</v>
      </c>
    </row>
    <row r="469" spans="2:13" ht="30" customHeight="1" x14ac:dyDescent="0.2">
      <c r="B469" s="16"/>
      <c r="C469" s="16"/>
      <c r="D469" s="16"/>
      <c r="E469" s="16"/>
      <c r="F469" s="16"/>
      <c r="G469" s="16"/>
      <c r="H469" s="21" t="s">
        <v>532</v>
      </c>
      <c r="I469" s="18"/>
      <c r="J469" s="22" t="s">
        <v>33</v>
      </c>
      <c r="K469" s="157">
        <f>+K470+K471</f>
        <v>531624896</v>
      </c>
      <c r="L469" s="157">
        <f t="shared" ref="L469" si="292">+L470+L471</f>
        <v>0</v>
      </c>
      <c r="M469" s="157">
        <f t="shared" ref="M469" si="293">+M470+M471</f>
        <v>531624896</v>
      </c>
    </row>
    <row r="470" spans="2:13" ht="30" customHeight="1" x14ac:dyDescent="0.2">
      <c r="B470" s="16" t="s">
        <v>1002</v>
      </c>
      <c r="C470" s="16" t="s">
        <v>1006</v>
      </c>
      <c r="D470" s="16" t="s">
        <v>1050</v>
      </c>
      <c r="E470" s="16" t="s">
        <v>1021</v>
      </c>
      <c r="F470" s="16" t="s">
        <v>1022</v>
      </c>
      <c r="G470" s="16" t="s">
        <v>1025</v>
      </c>
      <c r="H470" s="21" t="s">
        <v>533</v>
      </c>
      <c r="I470" s="18" t="str">
        <f>RIGHT(H470,4)</f>
        <v xml:space="preserve"> 150</v>
      </c>
      <c r="J470" s="22" t="s">
        <v>35</v>
      </c>
      <c r="K470" s="23">
        <v>249935979</v>
      </c>
      <c r="L470" s="23"/>
      <c r="M470" s="126">
        <f>+Tabla13[[#This Row],[PF INICIAL]]+Tabla13[[#This Row],[AJUSTE 1]]</f>
        <v>249935979</v>
      </c>
    </row>
    <row r="471" spans="2:13" ht="12.95" customHeight="1" x14ac:dyDescent="0.2">
      <c r="B471" s="16" t="s">
        <v>1002</v>
      </c>
      <c r="C471" s="16" t="s">
        <v>1006</v>
      </c>
      <c r="D471" s="16" t="s">
        <v>1050</v>
      </c>
      <c r="E471" s="16" t="s">
        <v>1021</v>
      </c>
      <c r="F471" s="16" t="s">
        <v>1022</v>
      </c>
      <c r="G471" s="16" t="s">
        <v>1025</v>
      </c>
      <c r="H471" s="21" t="s">
        <v>534</v>
      </c>
      <c r="I471" s="18" t="str">
        <f>RIGHT(H471,4)</f>
        <v>150A</v>
      </c>
      <c r="J471" s="22" t="s">
        <v>38</v>
      </c>
      <c r="K471" s="23">
        <v>281688917</v>
      </c>
      <c r="L471" s="23"/>
      <c r="M471" s="126">
        <f>+Tabla13[[#This Row],[PF INICIAL]]+Tabla13[[#This Row],[AJUSTE 1]]</f>
        <v>281688917</v>
      </c>
    </row>
    <row r="472" spans="2:13" ht="30" customHeight="1" x14ac:dyDescent="0.2">
      <c r="B472" s="16"/>
      <c r="C472" s="16"/>
      <c r="D472" s="16"/>
      <c r="E472" s="16"/>
      <c r="F472" s="16"/>
      <c r="G472" s="16"/>
      <c r="H472" s="21" t="s">
        <v>535</v>
      </c>
      <c r="I472" s="18"/>
      <c r="J472" s="22" t="s">
        <v>41</v>
      </c>
      <c r="K472" s="157">
        <f>+K473+K474</f>
        <v>698736337</v>
      </c>
      <c r="L472" s="157">
        <f t="shared" ref="L472" si="294">+L473+L474</f>
        <v>0</v>
      </c>
      <c r="M472" s="157">
        <f t="shared" ref="M472" si="295">+M473+M474</f>
        <v>698736337</v>
      </c>
    </row>
    <row r="473" spans="2:13" ht="30" customHeight="1" x14ac:dyDescent="0.2">
      <c r="B473" s="16" t="s">
        <v>1002</v>
      </c>
      <c r="C473" s="16" t="s">
        <v>1006</v>
      </c>
      <c r="D473" s="16" t="s">
        <v>1050</v>
      </c>
      <c r="E473" s="16" t="s">
        <v>1021</v>
      </c>
      <c r="F473" s="16" t="s">
        <v>1022</v>
      </c>
      <c r="G473" s="16" t="s">
        <v>1025</v>
      </c>
      <c r="H473" s="21" t="s">
        <v>536</v>
      </c>
      <c r="I473" s="18" t="str">
        <f>RIGHT(H473,4)</f>
        <v xml:space="preserve"> 150</v>
      </c>
      <c r="J473" s="22" t="s">
        <v>43</v>
      </c>
      <c r="K473" s="23">
        <v>276202964</v>
      </c>
      <c r="L473" s="23"/>
      <c r="M473" s="126">
        <f>+Tabla13[[#This Row],[PF INICIAL]]+Tabla13[[#This Row],[AJUSTE 1]]</f>
        <v>276202964</v>
      </c>
    </row>
    <row r="474" spans="2:13" ht="35.1" customHeight="1" x14ac:dyDescent="0.2">
      <c r="B474" s="16" t="s">
        <v>1002</v>
      </c>
      <c r="C474" s="16" t="s">
        <v>1006</v>
      </c>
      <c r="D474" s="16" t="s">
        <v>1050</v>
      </c>
      <c r="E474" s="16" t="s">
        <v>1021</v>
      </c>
      <c r="F474" s="16" t="s">
        <v>1022</v>
      </c>
      <c r="G474" s="16" t="s">
        <v>1025</v>
      </c>
      <c r="H474" s="21" t="s">
        <v>537</v>
      </c>
      <c r="I474" s="18" t="str">
        <f>RIGHT(H474,4)</f>
        <v>150A</v>
      </c>
      <c r="J474" s="22" t="s">
        <v>46</v>
      </c>
      <c r="K474" s="23">
        <v>422533373</v>
      </c>
      <c r="L474" s="23"/>
      <c r="M474" s="126">
        <f>+Tabla13[[#This Row],[PF INICIAL]]+Tabla13[[#This Row],[AJUSTE 1]]</f>
        <v>422533373</v>
      </c>
    </row>
    <row r="475" spans="2:13" ht="18.75" customHeight="1" x14ac:dyDescent="0.2">
      <c r="B475" s="16"/>
      <c r="C475" s="16"/>
      <c r="D475" s="16"/>
      <c r="E475" s="16"/>
      <c r="F475" s="16"/>
      <c r="G475" s="16"/>
      <c r="H475" s="21" t="s">
        <v>538</v>
      </c>
      <c r="I475" s="18"/>
      <c r="J475" s="22" t="s">
        <v>49</v>
      </c>
      <c r="K475" s="157">
        <f>+K476+K478</f>
        <v>8897038699</v>
      </c>
      <c r="L475" s="157">
        <f t="shared" ref="L475" si="296">+L476+L478</f>
        <v>0</v>
      </c>
      <c r="M475" s="157">
        <f t="shared" ref="M475" si="297">+M476+M478</f>
        <v>8897038699</v>
      </c>
    </row>
    <row r="476" spans="2:13" ht="18.75" customHeight="1" x14ac:dyDescent="0.2">
      <c r="B476" s="16"/>
      <c r="C476" s="16"/>
      <c r="D476" s="16"/>
      <c r="E476" s="16"/>
      <c r="F476" s="16"/>
      <c r="G476" s="16"/>
      <c r="H476" s="21" t="s">
        <v>539</v>
      </c>
      <c r="I476" s="18"/>
      <c r="J476" s="22" t="s">
        <v>51</v>
      </c>
      <c r="K476" s="157">
        <f>+K477</f>
        <v>8893541892</v>
      </c>
      <c r="L476" s="157">
        <f t="shared" ref="L476:M476" si="298">+L477</f>
        <v>0</v>
      </c>
      <c r="M476" s="157">
        <f t="shared" si="298"/>
        <v>8893541892</v>
      </c>
    </row>
    <row r="477" spans="2:13" ht="18.75" customHeight="1" x14ac:dyDescent="0.2">
      <c r="B477" s="16" t="s">
        <v>1002</v>
      </c>
      <c r="C477" s="16" t="s">
        <v>1006</v>
      </c>
      <c r="D477" s="16" t="s">
        <v>1050</v>
      </c>
      <c r="E477" s="16" t="s">
        <v>1021</v>
      </c>
      <c r="F477" s="16" t="s">
        <v>1022</v>
      </c>
      <c r="G477" s="16" t="s">
        <v>1025</v>
      </c>
      <c r="H477" s="21" t="s">
        <v>540</v>
      </c>
      <c r="I477" s="18" t="str">
        <f>RIGHT(H477,4)</f>
        <v>- 29</v>
      </c>
      <c r="J477" s="22" t="s">
        <v>51</v>
      </c>
      <c r="K477" s="23">
        <v>8893541892</v>
      </c>
      <c r="L477" s="23"/>
      <c r="M477" s="126">
        <f>+Tabla13[[#This Row],[PF INICIAL]]+Tabla13[[#This Row],[AJUSTE 1]]</f>
        <v>8893541892</v>
      </c>
    </row>
    <row r="478" spans="2:13" ht="19.5" customHeight="1" x14ac:dyDescent="0.2">
      <c r="B478" s="16"/>
      <c r="C478" s="16"/>
      <c r="D478" s="16"/>
      <c r="E478" s="16"/>
      <c r="F478" s="16"/>
      <c r="G478" s="16"/>
      <c r="H478" s="21" t="s">
        <v>541</v>
      </c>
      <c r="I478" s="18"/>
      <c r="J478" s="22" t="s">
        <v>54</v>
      </c>
      <c r="K478" s="157">
        <f>+K479+K480</f>
        <v>3496807</v>
      </c>
      <c r="L478" s="157">
        <f t="shared" ref="L478" si="299">+L479+L480</f>
        <v>0</v>
      </c>
      <c r="M478" s="157">
        <f t="shared" ref="M478" si="300">+M479+M480</f>
        <v>3496807</v>
      </c>
    </row>
    <row r="479" spans="2:13" ht="18.600000000000001" customHeight="1" x14ac:dyDescent="0.2">
      <c r="B479" s="16" t="s">
        <v>1002</v>
      </c>
      <c r="C479" s="16" t="s">
        <v>1006</v>
      </c>
      <c r="D479" s="16" t="s">
        <v>1050</v>
      </c>
      <c r="E479" s="16" t="s">
        <v>1021</v>
      </c>
      <c r="F479" s="16" t="s">
        <v>1022</v>
      </c>
      <c r="G479" s="16" t="s">
        <v>1025</v>
      </c>
      <c r="H479" s="21" t="s">
        <v>542</v>
      </c>
      <c r="I479" s="18" t="str">
        <f>RIGHT(H479,4)</f>
        <v>- 29</v>
      </c>
      <c r="J479" s="22" t="s">
        <v>54</v>
      </c>
      <c r="K479" s="23">
        <v>0</v>
      </c>
      <c r="L479" s="23"/>
      <c r="M479" s="126">
        <f>+Tabla13[[#This Row],[PF INICIAL]]+Tabla13[[#This Row],[AJUSTE 1]]</f>
        <v>0</v>
      </c>
    </row>
    <row r="480" spans="2:13" ht="18.75" customHeight="1" x14ac:dyDescent="0.2">
      <c r="B480" s="16" t="s">
        <v>1002</v>
      </c>
      <c r="C480" s="16" t="s">
        <v>1006</v>
      </c>
      <c r="D480" s="16" t="s">
        <v>1050</v>
      </c>
      <c r="E480" s="16" t="s">
        <v>1021</v>
      </c>
      <c r="F480" s="16" t="s">
        <v>1022</v>
      </c>
      <c r="G480" s="16" t="s">
        <v>1025</v>
      </c>
      <c r="H480" s="21" t="s">
        <v>543</v>
      </c>
      <c r="I480" s="18" t="str">
        <f>RIGHT(H480,4)</f>
        <v xml:space="preserve"> 29A</v>
      </c>
      <c r="J480" s="22" t="s">
        <v>54</v>
      </c>
      <c r="K480" s="23">
        <v>3496807</v>
      </c>
      <c r="L480" s="23"/>
      <c r="M480" s="126">
        <f>+Tabla13[[#This Row],[PF INICIAL]]+Tabla13[[#This Row],[AJUSTE 1]]</f>
        <v>3496807</v>
      </c>
    </row>
    <row r="481" spans="2:13" ht="18.75" customHeight="1" x14ac:dyDescent="0.2">
      <c r="B481" s="16"/>
      <c r="C481" s="16"/>
      <c r="D481" s="16"/>
      <c r="E481" s="16"/>
      <c r="F481" s="16"/>
      <c r="G481" s="16"/>
      <c r="H481" s="21" t="s">
        <v>544</v>
      </c>
      <c r="I481" s="18"/>
      <c r="J481" s="22" t="s">
        <v>57</v>
      </c>
      <c r="K481" s="157">
        <f>+K482+K484</f>
        <v>35332208770</v>
      </c>
      <c r="L481" s="157">
        <f t="shared" ref="L481" si="301">+L482+L484</f>
        <v>0</v>
      </c>
      <c r="M481" s="157">
        <f t="shared" ref="M481" si="302">+M482+M484</f>
        <v>35332208770</v>
      </c>
    </row>
    <row r="482" spans="2:13" ht="15" customHeight="1" x14ac:dyDescent="0.2">
      <c r="B482" s="16"/>
      <c r="C482" s="16"/>
      <c r="D482" s="16"/>
      <c r="E482" s="16"/>
      <c r="F482" s="16"/>
      <c r="G482" s="16"/>
      <c r="H482" s="21" t="s">
        <v>749</v>
      </c>
      <c r="I482" s="18"/>
      <c r="J482" s="22" t="s">
        <v>59</v>
      </c>
      <c r="K482" s="157">
        <f>+K483</f>
        <v>0</v>
      </c>
      <c r="L482" s="157">
        <f t="shared" ref="L482:M482" si="303">+L483</f>
        <v>0</v>
      </c>
      <c r="M482" s="157">
        <f t="shared" si="303"/>
        <v>0</v>
      </c>
    </row>
    <row r="483" spans="2:13" ht="30" customHeight="1" x14ac:dyDescent="0.2">
      <c r="B483" s="16"/>
      <c r="C483" s="16"/>
      <c r="D483" s="16"/>
      <c r="E483" s="16"/>
      <c r="F483" s="16"/>
      <c r="G483" s="16"/>
      <c r="H483" s="21" t="s">
        <v>750</v>
      </c>
      <c r="I483" s="18"/>
      <c r="J483" s="22" t="s">
        <v>61</v>
      </c>
      <c r="K483" s="2">
        <v>0</v>
      </c>
      <c r="L483" s="2">
        <v>0</v>
      </c>
      <c r="M483" s="126">
        <f>+Tabla13[[#This Row],[PF INICIAL]]+Tabla13[[#This Row],[AJUSTE 1]]</f>
        <v>0</v>
      </c>
    </row>
    <row r="484" spans="2:13" ht="30" customHeight="1" x14ac:dyDescent="0.2">
      <c r="B484" s="16"/>
      <c r="C484" s="16"/>
      <c r="D484" s="16"/>
      <c r="E484" s="16"/>
      <c r="F484" s="16"/>
      <c r="G484" s="16"/>
      <c r="H484" s="21" t="s">
        <v>545</v>
      </c>
      <c r="I484" s="18"/>
      <c r="J484" s="22" t="s">
        <v>546</v>
      </c>
      <c r="K484" s="157">
        <f>+K485</f>
        <v>35332208770</v>
      </c>
      <c r="L484" s="157">
        <f t="shared" ref="L484:M484" si="304">+L485</f>
        <v>0</v>
      </c>
      <c r="M484" s="157">
        <f t="shared" si="304"/>
        <v>35332208770</v>
      </c>
    </row>
    <row r="485" spans="2:13" ht="30" customHeight="1" x14ac:dyDescent="0.2">
      <c r="B485" s="16"/>
      <c r="C485" s="16"/>
      <c r="D485" s="16"/>
      <c r="E485" s="16"/>
      <c r="F485" s="16"/>
      <c r="G485" s="16"/>
      <c r="H485" s="21" t="s">
        <v>547</v>
      </c>
      <c r="I485" s="18"/>
      <c r="J485" s="22" t="s">
        <v>548</v>
      </c>
      <c r="K485" s="157">
        <f>+K486+K487</f>
        <v>35332208770</v>
      </c>
      <c r="L485" s="157">
        <f t="shared" ref="L485" si="305">+L486+L487</f>
        <v>0</v>
      </c>
      <c r="M485" s="157">
        <f t="shared" ref="M485" si="306">+M486+M487</f>
        <v>35332208770</v>
      </c>
    </row>
    <row r="486" spans="2:13" ht="30" customHeight="1" x14ac:dyDescent="0.2">
      <c r="B486" s="16" t="s">
        <v>1002</v>
      </c>
      <c r="C486" s="16" t="s">
        <v>1006</v>
      </c>
      <c r="D486" s="16" t="s">
        <v>1050</v>
      </c>
      <c r="E486" s="16" t="s">
        <v>1021</v>
      </c>
      <c r="F486" s="16" t="s">
        <v>1022</v>
      </c>
      <c r="G486" s="16" t="s">
        <v>1025</v>
      </c>
      <c r="H486" s="21" t="s">
        <v>689</v>
      </c>
      <c r="I486" s="18" t="str">
        <f>RIGHT(H486,4)</f>
        <v>- 56</v>
      </c>
      <c r="J486" s="22" t="s">
        <v>61</v>
      </c>
      <c r="K486" s="23">
        <v>25439190315</v>
      </c>
      <c r="L486" s="23"/>
      <c r="M486" s="126">
        <f>+Tabla13[[#This Row],[PF INICIAL]]+Tabla13[[#This Row],[AJUSTE 1]]</f>
        <v>25439190315</v>
      </c>
    </row>
    <row r="487" spans="2:13" ht="30" customHeight="1" x14ac:dyDescent="0.2">
      <c r="B487" s="16" t="s">
        <v>1002</v>
      </c>
      <c r="C487" s="16" t="s">
        <v>1006</v>
      </c>
      <c r="D487" s="16" t="s">
        <v>1050</v>
      </c>
      <c r="E487" s="16" t="s">
        <v>1021</v>
      </c>
      <c r="F487" s="16" t="s">
        <v>1022</v>
      </c>
      <c r="G487" s="16" t="s">
        <v>1025</v>
      </c>
      <c r="H487" s="21" t="s">
        <v>549</v>
      </c>
      <c r="I487" s="18" t="str">
        <f>RIGHT(H487,4)</f>
        <v xml:space="preserve"> 56A</v>
      </c>
      <c r="J487" s="22" t="s">
        <v>548</v>
      </c>
      <c r="K487" s="23">
        <v>9893018455</v>
      </c>
      <c r="L487" s="23"/>
      <c r="M487" s="126">
        <f>+Tabla13[[#This Row],[PF INICIAL]]+Tabla13[[#This Row],[AJUSTE 1]]</f>
        <v>9893018455</v>
      </c>
    </row>
    <row r="488" spans="2:13" s="13" customFormat="1" ht="15.75" customHeight="1" x14ac:dyDescent="0.25">
      <c r="B488" s="24"/>
      <c r="C488" s="24"/>
      <c r="D488" s="24"/>
      <c r="E488" s="24"/>
      <c r="F488" s="24"/>
      <c r="G488" s="24"/>
      <c r="H488" s="17" t="s">
        <v>550</v>
      </c>
      <c r="I488" s="18"/>
      <c r="J488" s="19" t="s">
        <v>86</v>
      </c>
      <c r="K488" s="156">
        <f>+K489</f>
        <v>15818191853</v>
      </c>
      <c r="L488" s="156">
        <f t="shared" ref="L488:M488" si="307">+L489</f>
        <v>0</v>
      </c>
      <c r="M488" s="156">
        <f t="shared" si="307"/>
        <v>15818191853</v>
      </c>
    </row>
    <row r="489" spans="2:13" s="13" customFormat="1" ht="15.75" customHeight="1" x14ac:dyDescent="0.25">
      <c r="B489" s="24"/>
      <c r="C489" s="24"/>
      <c r="D489" s="24"/>
      <c r="E489" s="24"/>
      <c r="F489" s="24"/>
      <c r="G489" s="24"/>
      <c r="H489" s="17" t="s">
        <v>551</v>
      </c>
      <c r="I489" s="18"/>
      <c r="J489" s="19" t="s">
        <v>195</v>
      </c>
      <c r="K489" s="156">
        <f>+K490+K500</f>
        <v>15818191853</v>
      </c>
      <c r="L489" s="156">
        <f t="shared" ref="L489" si="308">+L490+L500</f>
        <v>0</v>
      </c>
      <c r="M489" s="156">
        <f t="shared" ref="M489" si="309">+M490+M500</f>
        <v>15818191853</v>
      </c>
    </row>
    <row r="490" spans="2:13" ht="15" customHeight="1" x14ac:dyDescent="0.2">
      <c r="B490" s="16"/>
      <c r="C490" s="16"/>
      <c r="D490" s="16"/>
      <c r="E490" s="16"/>
      <c r="F490" s="16"/>
      <c r="G490" s="16"/>
      <c r="H490" s="21" t="s">
        <v>552</v>
      </c>
      <c r="I490" s="18"/>
      <c r="J490" s="22" t="s">
        <v>362</v>
      </c>
      <c r="K490" s="157">
        <f>+K491+K493+K497+K495</f>
        <v>9180213392</v>
      </c>
      <c r="L490" s="157">
        <f t="shared" ref="L490" si="310">+L491+L493+L497+L495</f>
        <v>0</v>
      </c>
      <c r="M490" s="157">
        <f t="shared" ref="M490" si="311">+M491+M493+M497+M495</f>
        <v>9180213392</v>
      </c>
    </row>
    <row r="491" spans="2:13" ht="15" customHeight="1" x14ac:dyDescent="0.2">
      <c r="B491" s="16"/>
      <c r="C491" s="16"/>
      <c r="D491" s="16"/>
      <c r="E491" s="16"/>
      <c r="F491" s="16"/>
      <c r="G491" s="16"/>
      <c r="H491" s="21" t="s">
        <v>553</v>
      </c>
      <c r="I491" s="18"/>
      <c r="J491" s="22" t="s">
        <v>364</v>
      </c>
      <c r="K491" s="157">
        <f>+K492</f>
        <v>2167426947</v>
      </c>
      <c r="L491" s="157">
        <f t="shared" ref="L491:M491" si="312">+L492</f>
        <v>0</v>
      </c>
      <c r="M491" s="157">
        <f t="shared" si="312"/>
        <v>2167426947</v>
      </c>
    </row>
    <row r="492" spans="2:13" ht="15" customHeight="1" x14ac:dyDescent="0.2">
      <c r="B492" s="16" t="s">
        <v>1002</v>
      </c>
      <c r="C492" s="16" t="s">
        <v>1006</v>
      </c>
      <c r="D492" s="16" t="s">
        <v>1050</v>
      </c>
      <c r="E492" s="16" t="s">
        <v>1021</v>
      </c>
      <c r="F492" s="16" t="s">
        <v>1022</v>
      </c>
      <c r="G492" s="16" t="s">
        <v>1025</v>
      </c>
      <c r="H492" s="21" t="s">
        <v>554</v>
      </c>
      <c r="I492" s="18" t="str">
        <f t="shared" ref="I492:I499" si="313">RIGHT(H492,4)</f>
        <v xml:space="preserve"> 71A</v>
      </c>
      <c r="J492" s="22" t="s">
        <v>364</v>
      </c>
      <c r="K492" s="23">
        <v>2167426947</v>
      </c>
      <c r="L492" s="23"/>
      <c r="M492" s="126">
        <f>+Tabla13[[#This Row],[PF INICIAL]]+Tabla13[[#This Row],[AJUSTE 1]]</f>
        <v>2167426947</v>
      </c>
    </row>
    <row r="493" spans="2:13" ht="30" customHeight="1" x14ac:dyDescent="0.2">
      <c r="B493" s="16"/>
      <c r="C493" s="16"/>
      <c r="D493" s="16"/>
      <c r="E493" s="16"/>
      <c r="F493" s="16"/>
      <c r="G493" s="16"/>
      <c r="H493" s="21" t="s">
        <v>555</v>
      </c>
      <c r="I493" s="18"/>
      <c r="J493" s="22" t="s">
        <v>367</v>
      </c>
      <c r="K493" s="157">
        <f>+K494</f>
        <v>4943367666</v>
      </c>
      <c r="L493" s="157">
        <f t="shared" ref="L493:M493" si="314">+L494</f>
        <v>0</v>
      </c>
      <c r="M493" s="157">
        <f t="shared" si="314"/>
        <v>4943367666</v>
      </c>
    </row>
    <row r="494" spans="2:13" ht="30" customHeight="1" x14ac:dyDescent="0.2">
      <c r="B494" s="16" t="s">
        <v>1002</v>
      </c>
      <c r="C494" s="16" t="s">
        <v>1006</v>
      </c>
      <c r="D494" s="16" t="s">
        <v>1050</v>
      </c>
      <c r="E494" s="16" t="s">
        <v>1021</v>
      </c>
      <c r="F494" s="16" t="s">
        <v>1022</v>
      </c>
      <c r="G494" s="16" t="s">
        <v>1025</v>
      </c>
      <c r="H494" s="21" t="s">
        <v>556</v>
      </c>
      <c r="I494" s="18" t="str">
        <f t="shared" si="313"/>
        <v xml:space="preserve"> 70A</v>
      </c>
      <c r="J494" s="22" t="s">
        <v>367</v>
      </c>
      <c r="K494" s="23">
        <v>4943367666</v>
      </c>
      <c r="L494" s="23"/>
      <c r="M494" s="126">
        <f>+Tabla13[[#This Row],[PF INICIAL]]+Tabla13[[#This Row],[AJUSTE 1]]</f>
        <v>4943367666</v>
      </c>
    </row>
    <row r="495" spans="2:13" ht="30" customHeight="1" x14ac:dyDescent="0.2">
      <c r="B495" s="16"/>
      <c r="C495" s="16"/>
      <c r="D495" s="16"/>
      <c r="E495" s="16"/>
      <c r="F495" s="16"/>
      <c r="G495" s="16"/>
      <c r="H495" s="21" t="s">
        <v>557</v>
      </c>
      <c r="I495" s="18"/>
      <c r="J495" s="22" t="s">
        <v>370</v>
      </c>
      <c r="K495" s="157">
        <f>+K496</f>
        <v>104198459</v>
      </c>
      <c r="L495" s="157">
        <f t="shared" ref="L495:M495" si="315">+L496</f>
        <v>0</v>
      </c>
      <c r="M495" s="157">
        <f t="shared" si="315"/>
        <v>104198459</v>
      </c>
    </row>
    <row r="496" spans="2:13" ht="30" customHeight="1" x14ac:dyDescent="0.2">
      <c r="B496" s="16" t="s">
        <v>1002</v>
      </c>
      <c r="C496" s="16" t="s">
        <v>1006</v>
      </c>
      <c r="D496" s="16" t="s">
        <v>1050</v>
      </c>
      <c r="E496" s="16" t="s">
        <v>1021</v>
      </c>
      <c r="F496" s="16" t="s">
        <v>1022</v>
      </c>
      <c r="G496" s="16" t="s">
        <v>1025</v>
      </c>
      <c r="H496" s="21" t="s">
        <v>558</v>
      </c>
      <c r="I496" s="18" t="str">
        <f t="shared" si="313"/>
        <v>103A</v>
      </c>
      <c r="J496" s="22" t="s">
        <v>370</v>
      </c>
      <c r="K496" s="23">
        <v>104198459</v>
      </c>
      <c r="L496" s="23"/>
      <c r="M496" s="126">
        <f>+Tabla13[[#This Row],[PF INICIAL]]+Tabla13[[#This Row],[AJUSTE 1]]</f>
        <v>104198459</v>
      </c>
    </row>
    <row r="497" spans="2:13" ht="15" customHeight="1" x14ac:dyDescent="0.2">
      <c r="B497" s="16"/>
      <c r="C497" s="16"/>
      <c r="D497" s="16"/>
      <c r="E497" s="16"/>
      <c r="F497" s="16"/>
      <c r="G497" s="16"/>
      <c r="H497" s="21" t="s">
        <v>559</v>
      </c>
      <c r="I497" s="18"/>
      <c r="J497" s="22" t="s">
        <v>373</v>
      </c>
      <c r="K497" s="157">
        <f>+K498+K499</f>
        <v>1965220320</v>
      </c>
      <c r="L497" s="157">
        <f t="shared" ref="L497" si="316">+L498+L499</f>
        <v>0</v>
      </c>
      <c r="M497" s="157">
        <f t="shared" ref="M497" si="317">+M498+M499</f>
        <v>1965220320</v>
      </c>
    </row>
    <row r="498" spans="2:13" ht="15" customHeight="1" x14ac:dyDescent="0.2">
      <c r="B498" s="16" t="s">
        <v>1002</v>
      </c>
      <c r="C498" s="16" t="s">
        <v>1006</v>
      </c>
      <c r="D498" s="16" t="s">
        <v>1050</v>
      </c>
      <c r="E498" s="16" t="s">
        <v>1021</v>
      </c>
      <c r="F498" s="16" t="s">
        <v>1022</v>
      </c>
      <c r="G498" s="16" t="s">
        <v>1025</v>
      </c>
      <c r="H498" s="21" t="s">
        <v>560</v>
      </c>
      <c r="I498" s="18" t="str">
        <f t="shared" si="313"/>
        <v>- 89</v>
      </c>
      <c r="J498" s="22" t="s">
        <v>373</v>
      </c>
      <c r="K498" s="23">
        <v>0</v>
      </c>
      <c r="L498" s="23"/>
      <c r="M498" s="126">
        <f>+Tabla13[[#This Row],[PF INICIAL]]+Tabla13[[#This Row],[AJUSTE 1]]</f>
        <v>0</v>
      </c>
    </row>
    <row r="499" spans="2:13" ht="15" customHeight="1" x14ac:dyDescent="0.2">
      <c r="B499" s="16" t="s">
        <v>1002</v>
      </c>
      <c r="C499" s="16" t="s">
        <v>1006</v>
      </c>
      <c r="D499" s="16" t="s">
        <v>1050</v>
      </c>
      <c r="E499" s="16" t="s">
        <v>1021</v>
      </c>
      <c r="F499" s="16" t="s">
        <v>1022</v>
      </c>
      <c r="G499" s="16" t="s">
        <v>1025</v>
      </c>
      <c r="H499" s="21" t="s">
        <v>561</v>
      </c>
      <c r="I499" s="18" t="str">
        <f t="shared" si="313"/>
        <v xml:space="preserve"> 89A</v>
      </c>
      <c r="J499" s="22" t="s">
        <v>373</v>
      </c>
      <c r="K499" s="23">
        <v>1965220320</v>
      </c>
      <c r="L499" s="23"/>
      <c r="M499" s="126">
        <f>+Tabla13[[#This Row],[PF INICIAL]]+Tabla13[[#This Row],[AJUSTE 1]]</f>
        <v>1965220320</v>
      </c>
    </row>
    <row r="500" spans="2:13" ht="30" customHeight="1" x14ac:dyDescent="0.2">
      <c r="B500" s="16"/>
      <c r="C500" s="16"/>
      <c r="D500" s="16"/>
      <c r="E500" s="16"/>
      <c r="F500" s="16"/>
      <c r="G500" s="16"/>
      <c r="H500" s="21" t="s">
        <v>562</v>
      </c>
      <c r="I500" s="18"/>
      <c r="J500" s="22" t="s">
        <v>197</v>
      </c>
      <c r="K500" s="157">
        <f>+K501</f>
        <v>6637978461</v>
      </c>
      <c r="L500" s="157">
        <f t="shared" ref="L500:M500" si="318">+L501</f>
        <v>0</v>
      </c>
      <c r="M500" s="157">
        <f t="shared" si="318"/>
        <v>6637978461</v>
      </c>
    </row>
    <row r="501" spans="2:13" ht="30" customHeight="1" x14ac:dyDescent="0.2">
      <c r="B501" s="16"/>
      <c r="C501" s="16"/>
      <c r="D501" s="16"/>
      <c r="E501" s="16"/>
      <c r="F501" s="16"/>
      <c r="G501" s="16"/>
      <c r="H501" s="21" t="s">
        <v>563</v>
      </c>
      <c r="I501" s="18"/>
      <c r="J501" s="22" t="s">
        <v>199</v>
      </c>
      <c r="K501" s="157">
        <f>+K502+K507</f>
        <v>6637978461</v>
      </c>
      <c r="L501" s="157">
        <f t="shared" ref="L501" si="319">+L502+L507</f>
        <v>0</v>
      </c>
      <c r="M501" s="157">
        <f t="shared" ref="M501" si="320">+M502+M507</f>
        <v>6637978461</v>
      </c>
    </row>
    <row r="502" spans="2:13" ht="15" customHeight="1" x14ac:dyDescent="0.2">
      <c r="B502" s="16"/>
      <c r="C502" s="16"/>
      <c r="D502" s="16"/>
      <c r="E502" s="16"/>
      <c r="F502" s="16"/>
      <c r="G502" s="16"/>
      <c r="H502" s="21" t="s">
        <v>564</v>
      </c>
      <c r="I502" s="18"/>
      <c r="J502" s="22" t="s">
        <v>201</v>
      </c>
      <c r="K502" s="157">
        <f>+K503+K505</f>
        <v>350490188</v>
      </c>
      <c r="L502" s="157">
        <f t="shared" ref="L502" si="321">+L503+L505</f>
        <v>0</v>
      </c>
      <c r="M502" s="157">
        <f t="shared" ref="M502" si="322">+M503+M505</f>
        <v>350490188</v>
      </c>
    </row>
    <row r="503" spans="2:13" ht="30" customHeight="1" x14ac:dyDescent="0.2">
      <c r="B503" s="16"/>
      <c r="C503" s="16"/>
      <c r="D503" s="16"/>
      <c r="E503" s="16"/>
      <c r="F503" s="16"/>
      <c r="G503" s="16"/>
      <c r="H503" s="21" t="s">
        <v>565</v>
      </c>
      <c r="I503" s="18"/>
      <c r="J503" s="22" t="s">
        <v>203</v>
      </c>
      <c r="K503" s="157">
        <f>+K504</f>
        <v>248369853</v>
      </c>
      <c r="L503" s="157">
        <f t="shared" ref="L503:M503" si="323">+L504</f>
        <v>0</v>
      </c>
      <c r="M503" s="157">
        <f t="shared" si="323"/>
        <v>248369853</v>
      </c>
    </row>
    <row r="504" spans="2:13" ht="30" customHeight="1" x14ac:dyDescent="0.2">
      <c r="B504" s="16" t="s">
        <v>1002</v>
      </c>
      <c r="C504" s="16" t="s">
        <v>1006</v>
      </c>
      <c r="D504" s="16" t="s">
        <v>1050</v>
      </c>
      <c r="E504" s="16" t="s">
        <v>1021</v>
      </c>
      <c r="F504" s="16" t="s">
        <v>1022</v>
      </c>
      <c r="G504" s="16" t="s">
        <v>1025</v>
      </c>
      <c r="H504" s="21" t="s">
        <v>566</v>
      </c>
      <c r="I504" s="18" t="str">
        <f>RIGHT(H504,4)</f>
        <v xml:space="preserve"> 150</v>
      </c>
      <c r="J504" s="22" t="s">
        <v>203</v>
      </c>
      <c r="K504" s="23">
        <v>248369853</v>
      </c>
      <c r="L504" s="23"/>
      <c r="M504" s="126">
        <f>+Tabla13[[#This Row],[PF INICIAL]]+Tabla13[[#This Row],[AJUSTE 1]]</f>
        <v>248369853</v>
      </c>
    </row>
    <row r="505" spans="2:13" ht="30" customHeight="1" x14ac:dyDescent="0.2">
      <c r="B505" s="16"/>
      <c r="C505" s="16"/>
      <c r="D505" s="16"/>
      <c r="E505" s="16"/>
      <c r="F505" s="16"/>
      <c r="G505" s="16"/>
      <c r="H505" s="21" t="s">
        <v>567</v>
      </c>
      <c r="I505" s="18"/>
      <c r="J505" s="22" t="s">
        <v>207</v>
      </c>
      <c r="K505" s="157">
        <f>+K506</f>
        <v>102120335</v>
      </c>
      <c r="L505" s="157">
        <f t="shared" ref="L505:M505" si="324">+L506</f>
        <v>0</v>
      </c>
      <c r="M505" s="157">
        <f t="shared" si="324"/>
        <v>102120335</v>
      </c>
    </row>
    <row r="506" spans="2:13" ht="30" customHeight="1" x14ac:dyDescent="0.2">
      <c r="B506" s="16" t="s">
        <v>1002</v>
      </c>
      <c r="C506" s="16" t="s">
        <v>1006</v>
      </c>
      <c r="D506" s="16" t="s">
        <v>1050</v>
      </c>
      <c r="E506" s="16" t="s">
        <v>1021</v>
      </c>
      <c r="F506" s="16" t="s">
        <v>1022</v>
      </c>
      <c r="G506" s="16" t="s">
        <v>1025</v>
      </c>
      <c r="H506" s="21" t="s">
        <v>568</v>
      </c>
      <c r="I506" s="18" t="str">
        <f>RIGHT(H506,4)</f>
        <v xml:space="preserve"> 150</v>
      </c>
      <c r="J506" s="22" t="s">
        <v>207</v>
      </c>
      <c r="K506" s="23">
        <v>102120335</v>
      </c>
      <c r="L506" s="23"/>
      <c r="M506" s="126">
        <f>+Tabla13[[#This Row],[PF INICIAL]]+Tabla13[[#This Row],[AJUSTE 1]]</f>
        <v>102120335</v>
      </c>
    </row>
    <row r="507" spans="2:13" ht="15" customHeight="1" x14ac:dyDescent="0.2">
      <c r="B507" s="16"/>
      <c r="C507" s="16"/>
      <c r="D507" s="16"/>
      <c r="E507" s="16"/>
      <c r="F507" s="16"/>
      <c r="G507" s="16"/>
      <c r="H507" s="21" t="s">
        <v>569</v>
      </c>
      <c r="I507" s="18"/>
      <c r="J507" s="22" t="s">
        <v>211</v>
      </c>
      <c r="K507" s="157">
        <f>+K508</f>
        <v>6287488273</v>
      </c>
      <c r="L507" s="157">
        <f t="shared" ref="L507:M507" si="325">+L508</f>
        <v>0</v>
      </c>
      <c r="M507" s="157">
        <f t="shared" si="325"/>
        <v>6287488273</v>
      </c>
    </row>
    <row r="508" spans="2:13" ht="15" customHeight="1" x14ac:dyDescent="0.2">
      <c r="B508" s="16"/>
      <c r="C508" s="16"/>
      <c r="D508" s="16"/>
      <c r="E508" s="16"/>
      <c r="F508" s="16"/>
      <c r="G508" s="16"/>
      <c r="H508" s="21" t="s">
        <v>570</v>
      </c>
      <c r="I508" s="18"/>
      <c r="J508" s="22" t="s">
        <v>213</v>
      </c>
      <c r="K508" s="157">
        <f>+K509+K511</f>
        <v>6287488273</v>
      </c>
      <c r="L508" s="157">
        <f t="shared" ref="L508" si="326">+L509+L511</f>
        <v>0</v>
      </c>
      <c r="M508" s="157">
        <f t="shared" ref="M508" si="327">+M509+M511</f>
        <v>6287488273</v>
      </c>
    </row>
    <row r="509" spans="2:13" ht="30" customHeight="1" x14ac:dyDescent="0.2">
      <c r="B509" s="16"/>
      <c r="C509" s="16"/>
      <c r="D509" s="16"/>
      <c r="E509" s="16"/>
      <c r="F509" s="16"/>
      <c r="G509" s="16"/>
      <c r="H509" s="21" t="s">
        <v>571</v>
      </c>
      <c r="I509" s="18"/>
      <c r="J509" s="22" t="s">
        <v>215</v>
      </c>
      <c r="K509" s="157">
        <f>+K510</f>
        <v>3991648160</v>
      </c>
      <c r="L509" s="157">
        <f t="shared" ref="L509:M509" si="328">+L510</f>
        <v>0</v>
      </c>
      <c r="M509" s="157">
        <f t="shared" si="328"/>
        <v>3991648160</v>
      </c>
    </row>
    <row r="510" spans="2:13" ht="30" customHeight="1" x14ac:dyDescent="0.2">
      <c r="B510" s="16" t="s">
        <v>1002</v>
      </c>
      <c r="C510" s="16" t="s">
        <v>1006</v>
      </c>
      <c r="D510" s="16" t="s">
        <v>1050</v>
      </c>
      <c r="E510" s="16" t="s">
        <v>1021</v>
      </c>
      <c r="F510" s="16" t="s">
        <v>1022</v>
      </c>
      <c r="G510" s="16" t="s">
        <v>1025</v>
      </c>
      <c r="H510" s="21" t="s">
        <v>572</v>
      </c>
      <c r="I510" s="18" t="str">
        <f>RIGHT(H510,4)</f>
        <v xml:space="preserve"> 150</v>
      </c>
      <c r="J510" s="22" t="s">
        <v>215</v>
      </c>
      <c r="K510" s="23">
        <v>3991648160</v>
      </c>
      <c r="L510" s="23"/>
      <c r="M510" s="126">
        <f>+Tabla13[[#This Row],[PF INICIAL]]+Tabla13[[#This Row],[AJUSTE 1]]</f>
        <v>3991648160</v>
      </c>
    </row>
    <row r="511" spans="2:13" ht="30" customHeight="1" x14ac:dyDescent="0.2">
      <c r="B511" s="16"/>
      <c r="C511" s="16"/>
      <c r="D511" s="16"/>
      <c r="E511" s="16"/>
      <c r="F511" s="16"/>
      <c r="G511" s="16"/>
      <c r="H511" s="21" t="s">
        <v>573</v>
      </c>
      <c r="I511" s="18"/>
      <c r="J511" s="22" t="s">
        <v>219</v>
      </c>
      <c r="K511" s="157">
        <f>+K512</f>
        <v>2295840113</v>
      </c>
      <c r="L511" s="157">
        <f t="shared" ref="L511:M512" si="329">+L512</f>
        <v>0</v>
      </c>
      <c r="M511" s="157">
        <f t="shared" si="329"/>
        <v>2295840113</v>
      </c>
    </row>
    <row r="512" spans="2:13" ht="30" customHeight="1" x14ac:dyDescent="0.2">
      <c r="B512" s="16"/>
      <c r="C512" s="16"/>
      <c r="D512" s="16"/>
      <c r="E512" s="16"/>
      <c r="F512" s="16"/>
      <c r="G512" s="16"/>
      <c r="H512" s="21" t="s">
        <v>574</v>
      </c>
      <c r="I512" s="18"/>
      <c r="J512" s="22" t="s">
        <v>221</v>
      </c>
      <c r="K512" s="157">
        <f>+K513</f>
        <v>2295840113</v>
      </c>
      <c r="L512" s="157">
        <f t="shared" si="329"/>
        <v>0</v>
      </c>
      <c r="M512" s="157">
        <f t="shared" si="329"/>
        <v>2295840113</v>
      </c>
    </row>
    <row r="513" spans="2:13" ht="30" customHeight="1" x14ac:dyDescent="0.2">
      <c r="B513" s="16" t="s">
        <v>1002</v>
      </c>
      <c r="C513" s="16" t="s">
        <v>1006</v>
      </c>
      <c r="D513" s="16" t="s">
        <v>1050</v>
      </c>
      <c r="E513" s="16" t="s">
        <v>1021</v>
      </c>
      <c r="F513" s="16" t="s">
        <v>1022</v>
      </c>
      <c r="G513" s="16" t="s">
        <v>1025</v>
      </c>
      <c r="H513" s="21" t="s">
        <v>575</v>
      </c>
      <c r="I513" s="18" t="str">
        <f>RIGHT(H513,4)</f>
        <v>150A</v>
      </c>
      <c r="J513" s="22" t="s">
        <v>221</v>
      </c>
      <c r="K513" s="23">
        <v>2295840113</v>
      </c>
      <c r="L513" s="23"/>
      <c r="M513" s="126">
        <f>+Tabla13[[#This Row],[PF INICIAL]]+Tabla13[[#This Row],[AJUSTE 1]]</f>
        <v>2295840113</v>
      </c>
    </row>
    <row r="514" spans="2:13" s="13" customFormat="1" ht="15.75" customHeight="1" x14ac:dyDescent="0.25">
      <c r="B514" s="24"/>
      <c r="C514" s="24"/>
      <c r="D514" s="24"/>
      <c r="E514" s="24"/>
      <c r="F514" s="24"/>
      <c r="G514" s="24"/>
      <c r="H514" s="17" t="s">
        <v>576</v>
      </c>
      <c r="I514" s="18"/>
      <c r="J514" s="19" t="s">
        <v>225</v>
      </c>
      <c r="K514" s="156">
        <f>+K515+K520+K528</f>
        <v>1695046049</v>
      </c>
      <c r="L514" s="156">
        <f t="shared" ref="L514" si="330">+L515+L520+L528</f>
        <v>0</v>
      </c>
      <c r="M514" s="156">
        <f t="shared" ref="M514" si="331">+M515+M520+M528</f>
        <v>1695046049</v>
      </c>
    </row>
    <row r="515" spans="2:13" s="13" customFormat="1" ht="15.75" customHeight="1" x14ac:dyDescent="0.25">
      <c r="B515" s="24"/>
      <c r="C515" s="24"/>
      <c r="D515" s="24"/>
      <c r="E515" s="24"/>
      <c r="F515" s="24"/>
      <c r="G515" s="24"/>
      <c r="H515" s="17" t="s">
        <v>577</v>
      </c>
      <c r="I515" s="18"/>
      <c r="J515" s="19" t="s">
        <v>239</v>
      </c>
      <c r="K515" s="156">
        <f>+K516</f>
        <v>0</v>
      </c>
      <c r="L515" s="156">
        <f t="shared" ref="L515:M515" si="332">+L516</f>
        <v>0</v>
      </c>
      <c r="M515" s="156">
        <f t="shared" si="332"/>
        <v>0</v>
      </c>
    </row>
    <row r="516" spans="2:13" ht="15" customHeight="1" x14ac:dyDescent="0.2">
      <c r="B516" s="16"/>
      <c r="C516" s="16"/>
      <c r="D516" s="16"/>
      <c r="E516" s="16"/>
      <c r="F516" s="16"/>
      <c r="G516" s="16"/>
      <c r="H516" s="21" t="s">
        <v>578</v>
      </c>
      <c r="I516" s="18"/>
      <c r="J516" s="22" t="s">
        <v>241</v>
      </c>
      <c r="K516" s="157">
        <f>SUM(K517:K519)</f>
        <v>0</v>
      </c>
      <c r="L516" s="157">
        <f t="shared" ref="L516" si="333">SUM(L517:L519)</f>
        <v>0</v>
      </c>
      <c r="M516" s="157">
        <f t="shared" ref="M516" si="334">SUM(M517:M519)</f>
        <v>0</v>
      </c>
    </row>
    <row r="517" spans="2:13" ht="15" customHeight="1" x14ac:dyDescent="0.2">
      <c r="B517" s="16" t="s">
        <v>1002</v>
      </c>
      <c r="C517" s="16" t="s">
        <v>1006</v>
      </c>
      <c r="D517" s="16" t="s">
        <v>1050</v>
      </c>
      <c r="E517" s="16" t="s">
        <v>1021</v>
      </c>
      <c r="F517" s="16" t="s">
        <v>1023</v>
      </c>
      <c r="G517" s="16" t="s">
        <v>1028</v>
      </c>
      <c r="H517" s="21" t="s">
        <v>579</v>
      </c>
      <c r="I517" s="18" t="str">
        <f>RIGHT(H517,4)</f>
        <v>106F</v>
      </c>
      <c r="J517" s="22" t="s">
        <v>241</v>
      </c>
      <c r="K517" s="23">
        <v>0</v>
      </c>
      <c r="L517" s="23"/>
      <c r="M517" s="126">
        <f>+Tabla13[[#This Row],[PF INICIAL]]+Tabla13[[#This Row],[AJUSTE 1]]</f>
        <v>0</v>
      </c>
    </row>
    <row r="518" spans="2:13" ht="15" customHeight="1" x14ac:dyDescent="0.2">
      <c r="B518" s="16" t="s">
        <v>1002</v>
      </c>
      <c r="C518" s="16" t="s">
        <v>1006</v>
      </c>
      <c r="D518" s="16" t="s">
        <v>1050</v>
      </c>
      <c r="E518" s="16" t="s">
        <v>1021</v>
      </c>
      <c r="F518" s="16" t="s">
        <v>1023</v>
      </c>
      <c r="G518" s="16" t="s">
        <v>1028</v>
      </c>
      <c r="H518" s="21" t="s">
        <v>580</v>
      </c>
      <c r="I518" s="18" t="str">
        <f>RIGHT(H518,4)</f>
        <v xml:space="preserve"> 29F</v>
      </c>
      <c r="J518" s="22" t="s">
        <v>241</v>
      </c>
      <c r="K518" s="23">
        <v>0</v>
      </c>
      <c r="L518" s="23"/>
      <c r="M518" s="126">
        <f>+Tabla13[[#This Row],[PF INICIAL]]+Tabla13[[#This Row],[AJUSTE 1]]</f>
        <v>0</v>
      </c>
    </row>
    <row r="519" spans="2:13" s="13" customFormat="1" ht="15.75" customHeight="1" x14ac:dyDescent="0.25">
      <c r="B519" s="16" t="s">
        <v>1002</v>
      </c>
      <c r="C519" s="16" t="s">
        <v>1006</v>
      </c>
      <c r="D519" s="16" t="s">
        <v>1050</v>
      </c>
      <c r="E519" s="16" t="s">
        <v>1021</v>
      </c>
      <c r="F519" s="16" t="s">
        <v>1023</v>
      </c>
      <c r="G519" s="16" t="s">
        <v>1028</v>
      </c>
      <c r="H519" s="21" t="s">
        <v>581</v>
      </c>
      <c r="I519" s="18" t="str">
        <f>RIGHT(H519,4)</f>
        <v xml:space="preserve"> 89F</v>
      </c>
      <c r="J519" s="22" t="s">
        <v>241</v>
      </c>
      <c r="K519" s="23">
        <v>0</v>
      </c>
      <c r="L519" s="23"/>
      <c r="M519" s="126">
        <f>+Tabla13[[#This Row],[PF INICIAL]]+Tabla13[[#This Row],[AJUSTE 1]]</f>
        <v>0</v>
      </c>
    </row>
    <row r="520" spans="2:13" s="13" customFormat="1" ht="15.75" customHeight="1" x14ac:dyDescent="0.25">
      <c r="B520" s="24"/>
      <c r="C520" s="24"/>
      <c r="D520" s="24"/>
      <c r="E520" s="24"/>
      <c r="F520" s="24"/>
      <c r="G520" s="24"/>
      <c r="H520" s="17" t="s">
        <v>582</v>
      </c>
      <c r="I520" s="18"/>
      <c r="J520" s="19" t="s">
        <v>583</v>
      </c>
      <c r="K520" s="156">
        <f>+K521</f>
        <v>1695046049</v>
      </c>
      <c r="L520" s="156">
        <f t="shared" ref="L520:M520" si="335">+L521</f>
        <v>0</v>
      </c>
      <c r="M520" s="156">
        <f t="shared" si="335"/>
        <v>1695046049</v>
      </c>
    </row>
    <row r="521" spans="2:13" ht="15" customHeight="1" x14ac:dyDescent="0.2">
      <c r="B521" s="16"/>
      <c r="C521" s="16"/>
      <c r="D521" s="16"/>
      <c r="E521" s="16"/>
      <c r="F521" s="16"/>
      <c r="G521" s="16"/>
      <c r="H521" s="21" t="s">
        <v>584</v>
      </c>
      <c r="I521" s="18"/>
      <c r="J521" s="22" t="s">
        <v>585</v>
      </c>
      <c r="K521" s="157">
        <f>+K522+K524+K526</f>
        <v>1695046049</v>
      </c>
      <c r="L521" s="157">
        <f t="shared" ref="L521" si="336">+L522+L524+L526</f>
        <v>0</v>
      </c>
      <c r="M521" s="157">
        <f t="shared" ref="M521" si="337">+M522+M524+M526</f>
        <v>1695046049</v>
      </c>
    </row>
    <row r="522" spans="2:13" ht="15" customHeight="1" x14ac:dyDescent="0.2">
      <c r="B522" s="16"/>
      <c r="C522" s="16"/>
      <c r="D522" s="16"/>
      <c r="E522" s="16"/>
      <c r="F522" s="16"/>
      <c r="G522" s="16"/>
      <c r="H522" s="21" t="s">
        <v>586</v>
      </c>
      <c r="I522" s="18"/>
      <c r="J522" s="22" t="s">
        <v>587</v>
      </c>
      <c r="K522" s="157">
        <f>+K523</f>
        <v>300533900</v>
      </c>
      <c r="L522" s="157">
        <f t="shared" ref="L522:M522" si="338">+L523</f>
        <v>0</v>
      </c>
      <c r="M522" s="157">
        <f t="shared" si="338"/>
        <v>300533900</v>
      </c>
    </row>
    <row r="523" spans="2:13" ht="15" customHeight="1" x14ac:dyDescent="0.2">
      <c r="B523" s="16" t="s">
        <v>1002</v>
      </c>
      <c r="C523" s="16" t="s">
        <v>1006</v>
      </c>
      <c r="D523" s="16" t="s">
        <v>1050</v>
      </c>
      <c r="E523" s="16" t="s">
        <v>1021</v>
      </c>
      <c r="F523" s="16" t="s">
        <v>1023</v>
      </c>
      <c r="G523" s="16" t="s">
        <v>1035</v>
      </c>
      <c r="H523" s="21" t="s">
        <v>588</v>
      </c>
      <c r="I523" s="18" t="str">
        <f>RIGHT(H523,4)</f>
        <v xml:space="preserve"> 76A</v>
      </c>
      <c r="J523" s="22" t="s">
        <v>587</v>
      </c>
      <c r="K523" s="23">
        <v>300533900</v>
      </c>
      <c r="L523" s="23"/>
      <c r="M523" s="126">
        <f>+Tabla13[[#This Row],[PF INICIAL]]+Tabla13[[#This Row],[AJUSTE 1]]</f>
        <v>300533900</v>
      </c>
    </row>
    <row r="524" spans="2:13" ht="15" customHeight="1" x14ac:dyDescent="0.2">
      <c r="B524" s="16"/>
      <c r="C524" s="16"/>
      <c r="D524" s="16"/>
      <c r="E524" s="16"/>
      <c r="F524" s="16"/>
      <c r="G524" s="16"/>
      <c r="H524" s="21" t="s">
        <v>589</v>
      </c>
      <c r="I524" s="18"/>
      <c r="J524" s="22" t="s">
        <v>590</v>
      </c>
      <c r="K524" s="157">
        <f>+K525</f>
        <v>681397330</v>
      </c>
      <c r="L524" s="157">
        <f t="shared" ref="L524:M524" si="339">+L525</f>
        <v>0</v>
      </c>
      <c r="M524" s="157">
        <f t="shared" si="339"/>
        <v>681397330</v>
      </c>
    </row>
    <row r="525" spans="2:13" ht="15" customHeight="1" x14ac:dyDescent="0.2">
      <c r="B525" s="16" t="s">
        <v>1002</v>
      </c>
      <c r="C525" s="16" t="s">
        <v>1006</v>
      </c>
      <c r="D525" s="16" t="s">
        <v>1050</v>
      </c>
      <c r="E525" s="16" t="s">
        <v>1021</v>
      </c>
      <c r="F525" s="16" t="s">
        <v>1023</v>
      </c>
      <c r="G525" s="16" t="s">
        <v>1035</v>
      </c>
      <c r="H525" s="21" t="s">
        <v>591</v>
      </c>
      <c r="I525" s="18" t="str">
        <f>RIGHT(H525,4)</f>
        <v xml:space="preserve"> 75A</v>
      </c>
      <c r="J525" s="22" t="s">
        <v>590</v>
      </c>
      <c r="K525" s="23">
        <v>681397330</v>
      </c>
      <c r="L525" s="23"/>
      <c r="M525" s="126">
        <f>+Tabla13[[#This Row],[PF INICIAL]]+Tabla13[[#This Row],[AJUSTE 1]]</f>
        <v>681397330</v>
      </c>
    </row>
    <row r="526" spans="2:13" ht="15" customHeight="1" x14ac:dyDescent="0.2">
      <c r="B526" s="16"/>
      <c r="C526" s="16"/>
      <c r="D526" s="16"/>
      <c r="E526" s="16"/>
      <c r="F526" s="16"/>
      <c r="G526" s="16"/>
      <c r="H526" s="21" t="s">
        <v>592</v>
      </c>
      <c r="I526" s="18"/>
      <c r="J526" s="22" t="s">
        <v>593</v>
      </c>
      <c r="K526" s="157">
        <f>+K527</f>
        <v>713114819</v>
      </c>
      <c r="L526" s="157">
        <f t="shared" ref="L526:M526" si="340">+L527</f>
        <v>0</v>
      </c>
      <c r="M526" s="157">
        <f t="shared" si="340"/>
        <v>713114819</v>
      </c>
    </row>
    <row r="527" spans="2:13" ht="15.75" customHeight="1" x14ac:dyDescent="0.2">
      <c r="B527" s="16" t="s">
        <v>1002</v>
      </c>
      <c r="C527" s="16" t="s">
        <v>1006</v>
      </c>
      <c r="D527" s="16" t="s">
        <v>1050</v>
      </c>
      <c r="E527" s="16" t="s">
        <v>1021</v>
      </c>
      <c r="F527" s="16" t="s">
        <v>1023</v>
      </c>
      <c r="G527" s="16" t="s">
        <v>1035</v>
      </c>
      <c r="H527" s="21" t="s">
        <v>594</v>
      </c>
      <c r="I527" s="18" t="str">
        <f>RIGHT(H527,4)</f>
        <v xml:space="preserve"> 75A</v>
      </c>
      <c r="J527" s="22" t="s">
        <v>593</v>
      </c>
      <c r="K527" s="23">
        <v>713114819</v>
      </c>
      <c r="L527" s="23"/>
      <c r="M527" s="126">
        <f>+Tabla13[[#This Row],[PF INICIAL]]+Tabla13[[#This Row],[AJUSTE 1]]</f>
        <v>713114819</v>
      </c>
    </row>
    <row r="528" spans="2:13" s="13" customFormat="1" ht="15.75" customHeight="1" x14ac:dyDescent="0.25">
      <c r="B528" s="24"/>
      <c r="C528" s="24"/>
      <c r="D528" s="24"/>
      <c r="E528" s="24"/>
      <c r="F528" s="24"/>
      <c r="G528" s="24"/>
      <c r="H528" s="17" t="s">
        <v>595</v>
      </c>
      <c r="I528" s="18"/>
      <c r="J528" s="19" t="s">
        <v>273</v>
      </c>
      <c r="K528" s="156">
        <f>+K529</f>
        <v>0</v>
      </c>
      <c r="L528" s="156">
        <f t="shared" ref="L528:M528" si="341">+L529</f>
        <v>0</v>
      </c>
      <c r="M528" s="156">
        <f t="shared" si="341"/>
        <v>0</v>
      </c>
    </row>
    <row r="529" spans="2:13" ht="15" customHeight="1" x14ac:dyDescent="0.2">
      <c r="B529" s="16"/>
      <c r="C529" s="16"/>
      <c r="D529" s="16"/>
      <c r="E529" s="16"/>
      <c r="F529" s="16"/>
      <c r="G529" s="16"/>
      <c r="H529" s="21" t="s">
        <v>596</v>
      </c>
      <c r="I529" s="18"/>
      <c r="J529" s="22" t="s">
        <v>275</v>
      </c>
      <c r="K529" s="157">
        <f>SUM(K530:K537)</f>
        <v>0</v>
      </c>
      <c r="L529" s="157">
        <f t="shared" ref="L529" si="342">SUM(L530:L537)</f>
        <v>0</v>
      </c>
      <c r="M529" s="157">
        <f t="shared" ref="M529" si="343">SUM(M530:M537)</f>
        <v>0</v>
      </c>
    </row>
    <row r="530" spans="2:13" ht="15" customHeight="1" x14ac:dyDescent="0.2">
      <c r="B530" s="16" t="s">
        <v>1002</v>
      </c>
      <c r="C530" s="16" t="s">
        <v>1006</v>
      </c>
      <c r="D530" s="16" t="s">
        <v>1050</v>
      </c>
      <c r="E530" s="16" t="s">
        <v>1021</v>
      </c>
      <c r="F530" s="16" t="s">
        <v>1023</v>
      </c>
      <c r="G530" s="16" t="s">
        <v>1031</v>
      </c>
      <c r="H530" s="21" t="s">
        <v>751</v>
      </c>
      <c r="I530" s="18" t="str">
        <f t="shared" ref="I530:I537" si="344">RIGHT(H530,4)</f>
        <v>103A</v>
      </c>
      <c r="J530" s="22" t="s">
        <v>275</v>
      </c>
      <c r="K530" s="23"/>
      <c r="L530" s="23"/>
      <c r="M530" s="126">
        <f>+Tabla13[[#This Row],[PF INICIAL]]+Tabla13[[#This Row],[AJUSTE 1]]</f>
        <v>0</v>
      </c>
    </row>
    <row r="531" spans="2:13" ht="15" customHeight="1" x14ac:dyDescent="0.2">
      <c r="B531" s="16" t="s">
        <v>1002</v>
      </c>
      <c r="C531" s="16" t="s">
        <v>1006</v>
      </c>
      <c r="D531" s="16" t="s">
        <v>1050</v>
      </c>
      <c r="E531" s="16" t="s">
        <v>1021</v>
      </c>
      <c r="F531" s="16" t="s">
        <v>1023</v>
      </c>
      <c r="G531" s="16" t="s">
        <v>1031</v>
      </c>
      <c r="H531" s="21" t="s">
        <v>752</v>
      </c>
      <c r="I531" s="18" t="str">
        <f t="shared" si="344"/>
        <v>150A</v>
      </c>
      <c r="J531" s="22" t="s">
        <v>275</v>
      </c>
      <c r="K531" s="23"/>
      <c r="L531" s="23"/>
      <c r="M531" s="126">
        <f>+Tabla13[[#This Row],[PF INICIAL]]+Tabla13[[#This Row],[AJUSTE 1]]</f>
        <v>0</v>
      </c>
    </row>
    <row r="532" spans="2:13" ht="15" customHeight="1" x14ac:dyDescent="0.2">
      <c r="B532" s="16" t="s">
        <v>1002</v>
      </c>
      <c r="C532" s="16" t="s">
        <v>1006</v>
      </c>
      <c r="D532" s="16" t="s">
        <v>1050</v>
      </c>
      <c r="E532" s="16" t="s">
        <v>1021</v>
      </c>
      <c r="F532" s="16" t="s">
        <v>1023</v>
      </c>
      <c r="G532" s="16" t="s">
        <v>1031</v>
      </c>
      <c r="H532" s="21" t="s">
        <v>753</v>
      </c>
      <c r="I532" s="18" t="str">
        <f t="shared" si="344"/>
        <v xml:space="preserve"> 29A</v>
      </c>
      <c r="J532" s="22" t="s">
        <v>275</v>
      </c>
      <c r="K532" s="23"/>
      <c r="L532" s="23"/>
      <c r="M532" s="126">
        <f>+Tabla13[[#This Row],[PF INICIAL]]+Tabla13[[#This Row],[AJUSTE 1]]</f>
        <v>0</v>
      </c>
    </row>
    <row r="533" spans="2:13" ht="15" customHeight="1" x14ac:dyDescent="0.2">
      <c r="B533" s="16" t="s">
        <v>1002</v>
      </c>
      <c r="C533" s="16" t="s">
        <v>1006</v>
      </c>
      <c r="D533" s="16" t="s">
        <v>1050</v>
      </c>
      <c r="E533" s="16" t="s">
        <v>1021</v>
      </c>
      <c r="F533" s="16" t="s">
        <v>1023</v>
      </c>
      <c r="G533" s="16" t="s">
        <v>1031</v>
      </c>
      <c r="H533" s="21" t="s">
        <v>754</v>
      </c>
      <c r="I533" s="18" t="str">
        <f t="shared" si="344"/>
        <v xml:space="preserve"> 56A</v>
      </c>
      <c r="J533" s="22" t="s">
        <v>275</v>
      </c>
      <c r="K533" s="23"/>
      <c r="L533" s="23"/>
      <c r="M533" s="126">
        <f>+Tabla13[[#This Row],[PF INICIAL]]+Tabla13[[#This Row],[AJUSTE 1]]</f>
        <v>0</v>
      </c>
    </row>
    <row r="534" spans="2:13" ht="15" customHeight="1" x14ac:dyDescent="0.2">
      <c r="B534" s="16" t="s">
        <v>1002</v>
      </c>
      <c r="C534" s="16" t="s">
        <v>1006</v>
      </c>
      <c r="D534" s="16" t="s">
        <v>1050</v>
      </c>
      <c r="E534" s="16" t="s">
        <v>1021</v>
      </c>
      <c r="F534" s="16" t="s">
        <v>1023</v>
      </c>
      <c r="G534" s="16" t="s">
        <v>1031</v>
      </c>
      <c r="H534" s="21" t="s">
        <v>755</v>
      </c>
      <c r="I534" s="18" t="str">
        <f t="shared" si="344"/>
        <v xml:space="preserve"> 70A</v>
      </c>
      <c r="J534" s="22" t="s">
        <v>275</v>
      </c>
      <c r="K534" s="23"/>
      <c r="L534" s="23"/>
      <c r="M534" s="126">
        <f>+Tabla13[[#This Row],[PF INICIAL]]+Tabla13[[#This Row],[AJUSTE 1]]</f>
        <v>0</v>
      </c>
    </row>
    <row r="535" spans="2:13" ht="15" customHeight="1" x14ac:dyDescent="0.2">
      <c r="B535" s="16" t="s">
        <v>1002</v>
      </c>
      <c r="C535" s="16" t="s">
        <v>1006</v>
      </c>
      <c r="D535" s="16" t="s">
        <v>1050</v>
      </c>
      <c r="E535" s="16" t="s">
        <v>1021</v>
      </c>
      <c r="F535" s="16" t="s">
        <v>1023</v>
      </c>
      <c r="G535" s="16" t="s">
        <v>1031</v>
      </c>
      <c r="H535" s="21" t="s">
        <v>756</v>
      </c>
      <c r="I535" s="18" t="str">
        <f t="shared" si="344"/>
        <v xml:space="preserve"> 71A</v>
      </c>
      <c r="J535" s="22" t="s">
        <v>275</v>
      </c>
      <c r="K535" s="23"/>
      <c r="L535" s="23"/>
      <c r="M535" s="126">
        <f>+Tabla13[[#This Row],[PF INICIAL]]+Tabla13[[#This Row],[AJUSTE 1]]</f>
        <v>0</v>
      </c>
    </row>
    <row r="536" spans="2:13" ht="15" customHeight="1" x14ac:dyDescent="0.2">
      <c r="B536" s="16" t="s">
        <v>1002</v>
      </c>
      <c r="C536" s="16" t="s">
        <v>1006</v>
      </c>
      <c r="D536" s="16" t="s">
        <v>1050</v>
      </c>
      <c r="E536" s="16" t="s">
        <v>1021</v>
      </c>
      <c r="F536" s="16" t="s">
        <v>1023</v>
      </c>
      <c r="G536" s="16" t="s">
        <v>1031</v>
      </c>
      <c r="H536" s="21" t="s">
        <v>757</v>
      </c>
      <c r="I536" s="18" t="str">
        <f t="shared" si="344"/>
        <v xml:space="preserve"> 72A</v>
      </c>
      <c r="J536" s="22" t="s">
        <v>275</v>
      </c>
      <c r="K536" s="23"/>
      <c r="L536" s="23"/>
      <c r="M536" s="126">
        <f>+Tabla13[[#This Row],[PF INICIAL]]+Tabla13[[#This Row],[AJUSTE 1]]</f>
        <v>0</v>
      </c>
    </row>
    <row r="537" spans="2:13" ht="15.75" customHeight="1" x14ac:dyDescent="0.2">
      <c r="B537" s="16" t="s">
        <v>1002</v>
      </c>
      <c r="C537" s="16" t="s">
        <v>1006</v>
      </c>
      <c r="D537" s="16" t="s">
        <v>1050</v>
      </c>
      <c r="E537" s="16" t="s">
        <v>1021</v>
      </c>
      <c r="F537" s="16" t="s">
        <v>1023</v>
      </c>
      <c r="G537" s="16" t="s">
        <v>1031</v>
      </c>
      <c r="H537" s="45" t="s">
        <v>758</v>
      </c>
      <c r="I537" s="18" t="str">
        <f t="shared" si="344"/>
        <v xml:space="preserve"> 75A</v>
      </c>
      <c r="J537" s="22" t="s">
        <v>275</v>
      </c>
      <c r="K537" s="23"/>
      <c r="L537" s="23"/>
      <c r="M537" s="126">
        <f>+Tabla13[[#This Row],[PF INICIAL]]+Tabla13[[#This Row],[AJUSTE 1]]</f>
        <v>0</v>
      </c>
    </row>
    <row r="538" spans="2:13" ht="16.5" customHeight="1" x14ac:dyDescent="0.25">
      <c r="B538" s="16"/>
      <c r="C538" s="16"/>
      <c r="D538" s="16"/>
      <c r="E538" s="16"/>
      <c r="F538" s="16"/>
      <c r="G538" s="16"/>
      <c r="H538" s="25" t="s">
        <v>796</v>
      </c>
      <c r="I538" s="186"/>
      <c r="J538" s="25"/>
      <c r="K538" s="153">
        <f>+K454+K364+K393+K257</f>
        <v>136834714317</v>
      </c>
      <c r="L538" s="153">
        <f t="shared" ref="L538" si="345">+L454+L364+L393+L257</f>
        <v>0</v>
      </c>
      <c r="M538" s="153">
        <f t="shared" ref="M538" si="346">+M454+M364+M393+M257</f>
        <v>136834714317</v>
      </c>
    </row>
    <row r="539" spans="2:13" ht="12.75" customHeight="1" x14ac:dyDescent="0.2">
      <c r="B539" s="16"/>
      <c r="C539" s="16"/>
      <c r="D539" s="16"/>
      <c r="E539" s="16"/>
      <c r="F539" s="16"/>
      <c r="G539" s="16"/>
      <c r="H539" s="45"/>
      <c r="I539" s="46"/>
      <c r="J539" s="16"/>
      <c r="K539" s="154"/>
      <c r="L539" s="154"/>
      <c r="M539" s="154"/>
    </row>
    <row r="540" spans="2:13" ht="15.75" customHeight="1" x14ac:dyDescent="0.2">
      <c r="B540" s="16"/>
      <c r="C540" s="16"/>
      <c r="D540" s="16"/>
      <c r="E540" s="16"/>
      <c r="F540" s="16"/>
      <c r="G540" s="16"/>
      <c r="H540" s="28" t="s">
        <v>797</v>
      </c>
      <c r="I540" s="29"/>
      <c r="J540" s="30"/>
      <c r="K540" s="158"/>
      <c r="L540" s="158"/>
      <c r="M540" s="158"/>
    </row>
    <row r="541" spans="2:13" s="13" customFormat="1" ht="16.5" customHeight="1" x14ac:dyDescent="0.25">
      <c r="B541" s="24"/>
      <c r="C541" s="24"/>
      <c r="D541" s="24"/>
      <c r="E541" s="24"/>
      <c r="F541" s="24"/>
      <c r="G541" s="24"/>
      <c r="H541" s="31" t="s">
        <v>778</v>
      </c>
      <c r="I541" s="29"/>
      <c r="J541" s="32" t="s">
        <v>779</v>
      </c>
      <c r="K541" s="155"/>
      <c r="L541" s="155"/>
      <c r="M541" s="155"/>
    </row>
    <row r="542" spans="2:13" s="13" customFormat="1" ht="15.75" customHeight="1" x14ac:dyDescent="0.25">
      <c r="B542" s="24"/>
      <c r="C542" s="24"/>
      <c r="D542" s="24"/>
      <c r="E542" s="24"/>
      <c r="F542" s="24"/>
      <c r="G542" s="24"/>
      <c r="H542" s="17" t="s">
        <v>597</v>
      </c>
      <c r="I542" s="18"/>
      <c r="J542" s="19" t="s">
        <v>1</v>
      </c>
      <c r="K542" s="156">
        <f>+K543+K549</f>
        <v>21609919205</v>
      </c>
      <c r="L542" s="156">
        <f t="shared" ref="L542" si="347">+L543+L549</f>
        <v>0</v>
      </c>
      <c r="M542" s="156">
        <f t="shared" ref="M542" si="348">+M543+M549</f>
        <v>21609919205</v>
      </c>
    </row>
    <row r="543" spans="2:13" s="13" customFormat="1" ht="15.75" customHeight="1" x14ac:dyDescent="0.25">
      <c r="B543" s="24"/>
      <c r="C543" s="24"/>
      <c r="D543" s="24"/>
      <c r="E543" s="24"/>
      <c r="F543" s="24"/>
      <c r="G543" s="24"/>
      <c r="H543" s="17" t="s">
        <v>598</v>
      </c>
      <c r="I543" s="18"/>
      <c r="J543" s="19" t="s">
        <v>3</v>
      </c>
      <c r="K543" s="156">
        <f t="shared" ref="K543:K545" si="349">+K544</f>
        <v>20109919205</v>
      </c>
      <c r="L543" s="156">
        <f t="shared" ref="L543:M547" si="350">+L544</f>
        <v>0</v>
      </c>
      <c r="M543" s="156">
        <f t="shared" si="350"/>
        <v>20109919205</v>
      </c>
    </row>
    <row r="544" spans="2:13" s="13" customFormat="1" ht="15.75" customHeight="1" x14ac:dyDescent="0.25">
      <c r="B544" s="24"/>
      <c r="C544" s="24"/>
      <c r="D544" s="24"/>
      <c r="E544" s="24"/>
      <c r="F544" s="24"/>
      <c r="G544" s="24"/>
      <c r="H544" s="17" t="s">
        <v>599</v>
      </c>
      <c r="I544" s="18"/>
      <c r="J544" s="19" t="s">
        <v>86</v>
      </c>
      <c r="K544" s="156">
        <f t="shared" si="349"/>
        <v>20109919205</v>
      </c>
      <c r="L544" s="156">
        <f t="shared" si="350"/>
        <v>0</v>
      </c>
      <c r="M544" s="156">
        <f t="shared" si="350"/>
        <v>20109919205</v>
      </c>
    </row>
    <row r="545" spans="2:13" ht="15.75" customHeight="1" x14ac:dyDescent="0.25">
      <c r="B545" s="16"/>
      <c r="C545" s="16"/>
      <c r="D545" s="16"/>
      <c r="E545" s="16"/>
      <c r="F545" s="16"/>
      <c r="G545" s="16"/>
      <c r="H545" s="17" t="s">
        <v>600</v>
      </c>
      <c r="I545" s="18"/>
      <c r="J545" s="19" t="s">
        <v>88</v>
      </c>
      <c r="K545" s="156">
        <f t="shared" si="349"/>
        <v>20109919205</v>
      </c>
      <c r="L545" s="156">
        <f t="shared" si="350"/>
        <v>0</v>
      </c>
      <c r="M545" s="156">
        <f t="shared" si="350"/>
        <v>20109919205</v>
      </c>
    </row>
    <row r="546" spans="2:13" s="13" customFormat="1" ht="15" customHeight="1" x14ac:dyDescent="0.25">
      <c r="B546" s="24"/>
      <c r="C546" s="24"/>
      <c r="D546" s="24"/>
      <c r="E546" s="24"/>
      <c r="F546" s="24"/>
      <c r="G546" s="24"/>
      <c r="H546" s="17" t="s">
        <v>601</v>
      </c>
      <c r="I546" s="18"/>
      <c r="J546" s="19" t="s">
        <v>602</v>
      </c>
      <c r="K546" s="156">
        <f>+K547</f>
        <v>20109919205</v>
      </c>
      <c r="L546" s="156">
        <f t="shared" si="350"/>
        <v>0</v>
      </c>
      <c r="M546" s="156">
        <f t="shared" si="350"/>
        <v>20109919205</v>
      </c>
    </row>
    <row r="547" spans="2:13" ht="15" customHeight="1" x14ac:dyDescent="0.2">
      <c r="B547" s="16"/>
      <c r="C547" s="16"/>
      <c r="D547" s="16"/>
      <c r="E547" s="16"/>
      <c r="F547" s="16"/>
      <c r="G547" s="16"/>
      <c r="H547" s="21" t="s">
        <v>603</v>
      </c>
      <c r="I547" s="18"/>
      <c r="J547" s="22" t="s">
        <v>604</v>
      </c>
      <c r="K547" s="157">
        <f>+K548</f>
        <v>20109919205</v>
      </c>
      <c r="L547" s="157">
        <f t="shared" si="350"/>
        <v>0</v>
      </c>
      <c r="M547" s="157">
        <f t="shared" si="350"/>
        <v>20109919205</v>
      </c>
    </row>
    <row r="548" spans="2:13" s="13" customFormat="1" ht="30" customHeight="1" x14ac:dyDescent="0.25">
      <c r="B548" s="16" t="s">
        <v>1002</v>
      </c>
      <c r="C548" s="16" t="s">
        <v>1007</v>
      </c>
      <c r="D548" s="46" t="s">
        <v>1051</v>
      </c>
      <c r="E548" s="16" t="s">
        <v>1015</v>
      </c>
      <c r="F548" s="16" t="s">
        <v>1022</v>
      </c>
      <c r="G548" s="16" t="s">
        <v>1025</v>
      </c>
      <c r="H548" s="21" t="s">
        <v>605</v>
      </c>
      <c r="I548" s="18" t="str">
        <f>RIGHT(H548,4)</f>
        <v>- 42</v>
      </c>
      <c r="J548" s="22" t="s">
        <v>606</v>
      </c>
      <c r="K548" s="23">
        <v>20109919205</v>
      </c>
      <c r="L548" s="23"/>
      <c r="M548" s="126">
        <f>+Tabla13[[#This Row],[PF INICIAL]]+Tabla13[[#This Row],[AJUSTE 1]]</f>
        <v>20109919205</v>
      </c>
    </row>
    <row r="549" spans="2:13" s="13" customFormat="1" ht="15.75" customHeight="1" x14ac:dyDescent="0.25">
      <c r="B549" s="24"/>
      <c r="C549" s="24"/>
      <c r="D549" s="24"/>
      <c r="E549" s="24"/>
      <c r="F549" s="24"/>
      <c r="G549" s="24"/>
      <c r="H549" s="17" t="s">
        <v>607</v>
      </c>
      <c r="I549" s="18"/>
      <c r="J549" s="19" t="s">
        <v>225</v>
      </c>
      <c r="K549" s="156">
        <f t="shared" ref="K549:M550" si="351">+K550</f>
        <v>1500000000</v>
      </c>
      <c r="L549" s="156">
        <f t="shared" si="351"/>
        <v>0</v>
      </c>
      <c r="M549" s="156">
        <f t="shared" si="351"/>
        <v>1500000000</v>
      </c>
    </row>
    <row r="550" spans="2:13" ht="15.75" customHeight="1" x14ac:dyDescent="0.2">
      <c r="B550" s="16"/>
      <c r="C550" s="16"/>
      <c r="D550" s="16"/>
      <c r="E550" s="16"/>
      <c r="F550" s="16"/>
      <c r="G550" s="16"/>
      <c r="H550" s="21" t="s">
        <v>608</v>
      </c>
      <c r="I550" s="18"/>
      <c r="J550" s="22" t="s">
        <v>239</v>
      </c>
      <c r="K550" s="157">
        <f t="shared" si="351"/>
        <v>1500000000</v>
      </c>
      <c r="L550" s="157">
        <f t="shared" si="351"/>
        <v>0</v>
      </c>
      <c r="M550" s="157">
        <f t="shared" si="351"/>
        <v>1500000000</v>
      </c>
    </row>
    <row r="551" spans="2:13" ht="15.75" customHeight="1" x14ac:dyDescent="0.2">
      <c r="B551" s="16"/>
      <c r="C551" s="16"/>
      <c r="D551" s="16"/>
      <c r="E551" s="16"/>
      <c r="F551" s="16"/>
      <c r="G551" s="16"/>
      <c r="H551" s="21" t="s">
        <v>609</v>
      </c>
      <c r="I551" s="18"/>
      <c r="J551" s="22" t="s">
        <v>241</v>
      </c>
      <c r="K551" s="157">
        <f>+K552</f>
        <v>1500000000</v>
      </c>
      <c r="L551" s="157">
        <f>+L552</f>
        <v>0</v>
      </c>
      <c r="M551" s="157">
        <f>+M552</f>
        <v>1500000000</v>
      </c>
    </row>
    <row r="552" spans="2:13" s="13" customFormat="1" ht="15.75" customHeight="1" x14ac:dyDescent="0.25">
      <c r="B552" s="16" t="s">
        <v>1002</v>
      </c>
      <c r="C552" s="16" t="s">
        <v>1007</v>
      </c>
      <c r="D552" s="46" t="s">
        <v>1051</v>
      </c>
      <c r="E552" s="16" t="s">
        <v>1015</v>
      </c>
      <c r="F552" s="16" t="s">
        <v>1023</v>
      </c>
      <c r="G552" s="16" t="s">
        <v>1028</v>
      </c>
      <c r="H552" s="21" t="s">
        <v>610</v>
      </c>
      <c r="I552" s="18" t="str">
        <f>RIGHT(H552,4)</f>
        <v xml:space="preserve"> 42F</v>
      </c>
      <c r="J552" s="22" t="s">
        <v>241</v>
      </c>
      <c r="K552" s="23">
        <v>1500000000</v>
      </c>
      <c r="L552" s="23">
        <v>0</v>
      </c>
      <c r="M552" s="126">
        <f>+Tabla13[[#This Row],[PF INICIAL]]+Tabla13[[#This Row],[AJUSTE 1]]</f>
        <v>1500000000</v>
      </c>
    </row>
    <row r="553" spans="2:13" s="13" customFormat="1" ht="15.75" customHeight="1" x14ac:dyDescent="0.25">
      <c r="B553" s="24"/>
      <c r="C553" s="24"/>
      <c r="D553" s="24"/>
      <c r="E553" s="24"/>
      <c r="F553" s="24"/>
      <c r="G553" s="24"/>
      <c r="H553" s="17" t="s">
        <v>611</v>
      </c>
      <c r="I553" s="18"/>
      <c r="J553" s="19" t="s">
        <v>267</v>
      </c>
      <c r="K553" s="156">
        <v>0</v>
      </c>
      <c r="L553" s="156">
        <v>0</v>
      </c>
      <c r="M553" s="156">
        <v>0</v>
      </c>
    </row>
    <row r="554" spans="2:13" ht="15.75" customHeight="1" x14ac:dyDescent="0.25">
      <c r="B554" s="16"/>
      <c r="C554" s="16"/>
      <c r="D554" s="16"/>
      <c r="E554" s="16"/>
      <c r="F554" s="16"/>
      <c r="G554" s="16"/>
      <c r="H554" s="17" t="s">
        <v>612</v>
      </c>
      <c r="I554" s="18"/>
      <c r="J554" s="19" t="s">
        <v>271</v>
      </c>
      <c r="K554" s="156">
        <v>0</v>
      </c>
      <c r="L554" s="156">
        <v>0</v>
      </c>
      <c r="M554" s="156">
        <v>0</v>
      </c>
    </row>
    <row r="555" spans="2:13" ht="15" customHeight="1" x14ac:dyDescent="0.2">
      <c r="B555" s="16" t="s">
        <v>1002</v>
      </c>
      <c r="C555" s="16" t="s">
        <v>1007</v>
      </c>
      <c r="D555" s="46" t="s">
        <v>1051</v>
      </c>
      <c r="E555" s="16" t="s">
        <v>1015</v>
      </c>
      <c r="F555" s="16" t="s">
        <v>1023</v>
      </c>
      <c r="G555" s="16" t="s">
        <v>1030</v>
      </c>
      <c r="H555" s="21" t="s">
        <v>613</v>
      </c>
      <c r="I555" s="18" t="str">
        <f>RIGHT(H555,4)</f>
        <v>42RB</v>
      </c>
      <c r="J555" s="22" t="s">
        <v>271</v>
      </c>
      <c r="K555" s="23">
        <v>0</v>
      </c>
      <c r="L555" s="23"/>
      <c r="M555" s="126">
        <f>+Tabla13[[#This Row],[PF INICIAL]]+Tabla13[[#This Row],[AJUSTE 1]]</f>
        <v>0</v>
      </c>
    </row>
    <row r="556" spans="2:13" ht="16.5" customHeight="1" x14ac:dyDescent="0.25">
      <c r="B556" s="16"/>
      <c r="C556" s="16"/>
      <c r="D556" s="16"/>
      <c r="E556" s="16"/>
      <c r="F556" s="16"/>
      <c r="G556" s="16"/>
      <c r="H556" s="25" t="s">
        <v>798</v>
      </c>
      <c r="I556" s="186"/>
      <c r="J556" s="25"/>
      <c r="K556" s="153">
        <f>+K542</f>
        <v>21609919205</v>
      </c>
      <c r="L556" s="153">
        <f t="shared" ref="L556" si="352">+L542</f>
        <v>0</v>
      </c>
      <c r="M556" s="153">
        <f t="shared" ref="M556" si="353">+M542</f>
        <v>21609919205</v>
      </c>
    </row>
    <row r="557" spans="2:13" ht="15" customHeight="1" x14ac:dyDescent="0.2">
      <c r="B557" s="16"/>
      <c r="C557" s="16"/>
      <c r="D557" s="16"/>
      <c r="E557" s="16"/>
      <c r="F557" s="16"/>
      <c r="G557" s="16"/>
      <c r="H557" s="45"/>
      <c r="I557" s="46"/>
      <c r="J557" s="22"/>
      <c r="K557" s="157"/>
      <c r="L557" s="157"/>
      <c r="M557" s="157"/>
    </row>
    <row r="558" spans="2:13" ht="15.75" customHeight="1" x14ac:dyDescent="0.2">
      <c r="B558" s="16"/>
      <c r="C558" s="16"/>
      <c r="D558" s="16"/>
      <c r="E558" s="16"/>
      <c r="F558" s="16"/>
      <c r="G558" s="16"/>
      <c r="H558" s="28" t="s">
        <v>799</v>
      </c>
      <c r="I558" s="29"/>
      <c r="J558" s="30"/>
      <c r="K558" s="158"/>
      <c r="L558" s="158"/>
      <c r="M558" s="158"/>
    </row>
    <row r="559" spans="2:13" ht="16.5" customHeight="1" x14ac:dyDescent="0.2">
      <c r="B559" s="16"/>
      <c r="C559" s="16"/>
      <c r="D559" s="16"/>
      <c r="E559" s="16"/>
      <c r="F559" s="16"/>
      <c r="G559" s="16"/>
      <c r="H559" s="31" t="s">
        <v>779</v>
      </c>
      <c r="I559" s="29"/>
      <c r="J559" s="47" t="s">
        <v>1054</v>
      </c>
      <c r="K559" s="155"/>
      <c r="L559" s="155"/>
      <c r="M559" s="155"/>
    </row>
    <row r="560" spans="2:13" s="13" customFormat="1" ht="15.75" customHeight="1" x14ac:dyDescent="0.25">
      <c r="B560" s="24"/>
      <c r="C560" s="24"/>
      <c r="D560" s="24"/>
      <c r="E560" s="24"/>
      <c r="F560" s="24"/>
      <c r="G560" s="24"/>
      <c r="H560" s="17" t="s">
        <v>614</v>
      </c>
      <c r="I560" s="18"/>
      <c r="J560" s="19" t="s">
        <v>1</v>
      </c>
      <c r="K560" s="156">
        <f>+K561+K570</f>
        <v>1461361887</v>
      </c>
      <c r="L560" s="156">
        <f t="shared" ref="L560" si="354">+L561+L570</f>
        <v>0</v>
      </c>
      <c r="M560" s="156">
        <f t="shared" ref="M560" si="355">+M561+M570</f>
        <v>1461361887</v>
      </c>
    </row>
    <row r="561" spans="2:13" s="13" customFormat="1" ht="15.75" customHeight="1" x14ac:dyDescent="0.25">
      <c r="B561" s="24"/>
      <c r="C561" s="24"/>
      <c r="D561" s="24"/>
      <c r="E561" s="24"/>
      <c r="F561" s="24"/>
      <c r="G561" s="24"/>
      <c r="H561" s="17" t="s">
        <v>615</v>
      </c>
      <c r="I561" s="18"/>
      <c r="J561" s="19" t="s">
        <v>3</v>
      </c>
      <c r="K561" s="157">
        <f t="shared" ref="K561:K567" si="356">+K562</f>
        <v>0</v>
      </c>
      <c r="L561" s="157">
        <f t="shared" ref="L561:M568" si="357">+L562</f>
        <v>0</v>
      </c>
      <c r="M561" s="157">
        <f t="shared" si="357"/>
        <v>0</v>
      </c>
    </row>
    <row r="562" spans="2:13" s="13" customFormat="1" ht="15.75" customHeight="1" x14ac:dyDescent="0.25">
      <c r="B562" s="24"/>
      <c r="C562" s="24"/>
      <c r="D562" s="24"/>
      <c r="E562" s="24"/>
      <c r="F562" s="24"/>
      <c r="G562" s="24"/>
      <c r="H562" s="17" t="s">
        <v>616</v>
      </c>
      <c r="I562" s="18"/>
      <c r="J562" s="19" t="s">
        <v>86</v>
      </c>
      <c r="K562" s="157">
        <f t="shared" si="356"/>
        <v>0</v>
      </c>
      <c r="L562" s="157">
        <f t="shared" si="357"/>
        <v>0</v>
      </c>
      <c r="M562" s="157">
        <f t="shared" si="357"/>
        <v>0</v>
      </c>
    </row>
    <row r="563" spans="2:13" ht="15.75" customHeight="1" x14ac:dyDescent="0.2">
      <c r="B563" s="16"/>
      <c r="C563" s="16"/>
      <c r="D563" s="16"/>
      <c r="E563" s="16"/>
      <c r="F563" s="16"/>
      <c r="G563" s="16"/>
      <c r="H563" s="17" t="s">
        <v>617</v>
      </c>
      <c r="I563" s="18"/>
      <c r="J563" s="19" t="s">
        <v>112</v>
      </c>
      <c r="K563" s="157">
        <f t="shared" si="356"/>
        <v>0</v>
      </c>
      <c r="L563" s="157">
        <f t="shared" si="357"/>
        <v>0</v>
      </c>
      <c r="M563" s="157">
        <f t="shared" si="357"/>
        <v>0</v>
      </c>
    </row>
    <row r="564" spans="2:13" ht="15" customHeight="1" x14ac:dyDescent="0.2">
      <c r="B564" s="16"/>
      <c r="C564" s="16"/>
      <c r="D564" s="16"/>
      <c r="E564" s="16"/>
      <c r="F564" s="16"/>
      <c r="G564" s="16"/>
      <c r="H564" s="21" t="s">
        <v>618</v>
      </c>
      <c r="I564" s="18"/>
      <c r="J564" s="22" t="s">
        <v>114</v>
      </c>
      <c r="K564" s="157">
        <f t="shared" si="356"/>
        <v>0</v>
      </c>
      <c r="L564" s="157">
        <f t="shared" si="357"/>
        <v>0</v>
      </c>
      <c r="M564" s="157">
        <f t="shared" si="357"/>
        <v>0</v>
      </c>
    </row>
    <row r="565" spans="2:13" ht="15" customHeight="1" x14ac:dyDescent="0.2">
      <c r="B565" s="16"/>
      <c r="C565" s="16"/>
      <c r="D565" s="16"/>
      <c r="E565" s="16"/>
      <c r="F565" s="16"/>
      <c r="G565" s="16"/>
      <c r="H565" s="21" t="s">
        <v>619</v>
      </c>
      <c r="I565" s="18"/>
      <c r="J565" s="22" t="s">
        <v>144</v>
      </c>
      <c r="K565" s="157">
        <f t="shared" si="356"/>
        <v>0</v>
      </c>
      <c r="L565" s="157">
        <f t="shared" si="357"/>
        <v>0</v>
      </c>
      <c r="M565" s="157">
        <f t="shared" si="357"/>
        <v>0</v>
      </c>
    </row>
    <row r="566" spans="2:13" ht="15" customHeight="1" x14ac:dyDescent="0.2">
      <c r="B566" s="16"/>
      <c r="C566" s="16"/>
      <c r="D566" s="16"/>
      <c r="E566" s="16"/>
      <c r="F566" s="16"/>
      <c r="G566" s="16"/>
      <c r="H566" s="21" t="s">
        <v>620</v>
      </c>
      <c r="I566" s="18"/>
      <c r="J566" s="22" t="s">
        <v>621</v>
      </c>
      <c r="K566" s="157">
        <f t="shared" si="356"/>
        <v>0</v>
      </c>
      <c r="L566" s="157">
        <f t="shared" si="357"/>
        <v>0</v>
      </c>
      <c r="M566" s="157">
        <f t="shared" si="357"/>
        <v>0</v>
      </c>
    </row>
    <row r="567" spans="2:13" ht="15" customHeight="1" x14ac:dyDescent="0.2">
      <c r="B567" s="16"/>
      <c r="C567" s="16"/>
      <c r="D567" s="16"/>
      <c r="E567" s="16"/>
      <c r="F567" s="16"/>
      <c r="G567" s="16"/>
      <c r="H567" s="21" t="s">
        <v>622</v>
      </c>
      <c r="I567" s="18"/>
      <c r="J567" s="22" t="s">
        <v>623</v>
      </c>
      <c r="K567" s="157">
        <f t="shared" si="356"/>
        <v>0</v>
      </c>
      <c r="L567" s="157">
        <f t="shared" si="357"/>
        <v>0</v>
      </c>
      <c r="M567" s="157">
        <f t="shared" si="357"/>
        <v>0</v>
      </c>
    </row>
    <row r="568" spans="2:13" ht="15" customHeight="1" x14ac:dyDescent="0.2">
      <c r="B568" s="16"/>
      <c r="C568" s="16"/>
      <c r="D568" s="16"/>
      <c r="E568" s="16"/>
      <c r="F568" s="16"/>
      <c r="G568" s="16"/>
      <c r="H568" s="21" t="s">
        <v>624</v>
      </c>
      <c r="I568" s="18"/>
      <c r="J568" s="22" t="s">
        <v>625</v>
      </c>
      <c r="K568" s="157">
        <f>+K569</f>
        <v>0</v>
      </c>
      <c r="L568" s="157">
        <f t="shared" si="357"/>
        <v>0</v>
      </c>
      <c r="M568" s="157">
        <f t="shared" si="357"/>
        <v>0</v>
      </c>
    </row>
    <row r="569" spans="2:13" s="13" customFormat="1" ht="15.75" customHeight="1" x14ac:dyDescent="0.25">
      <c r="B569" s="16" t="s">
        <v>1002</v>
      </c>
      <c r="C569" s="16" t="s">
        <v>1044</v>
      </c>
      <c r="D569" s="46" t="s">
        <v>1051</v>
      </c>
      <c r="E569" s="16" t="s">
        <v>1015</v>
      </c>
      <c r="F569" s="16" t="s">
        <v>1022</v>
      </c>
      <c r="G569" s="16" t="s">
        <v>1025</v>
      </c>
      <c r="H569" s="21" t="s">
        <v>626</v>
      </c>
      <c r="I569" s="18" t="str">
        <f>RIGHT(H569,4)</f>
        <v xml:space="preserve"> 151</v>
      </c>
      <c r="J569" s="22" t="s">
        <v>627</v>
      </c>
      <c r="K569" s="23">
        <v>0</v>
      </c>
      <c r="L569" s="23"/>
      <c r="M569" s="126">
        <f>+Tabla13[[#This Row],[PF INICIAL]]+Tabla13[[#This Row],[AJUSTE 1]]</f>
        <v>0</v>
      </c>
    </row>
    <row r="570" spans="2:13" s="13" customFormat="1" ht="15.75" customHeight="1" x14ac:dyDescent="0.25">
      <c r="B570" s="24"/>
      <c r="C570" s="24"/>
      <c r="D570" s="24"/>
      <c r="E570" s="24"/>
      <c r="F570" s="24"/>
      <c r="G570" s="24"/>
      <c r="H570" s="17" t="s">
        <v>628</v>
      </c>
      <c r="I570" s="18"/>
      <c r="J570" s="19" t="s">
        <v>225</v>
      </c>
      <c r="K570" s="156">
        <f>+K571+K576+K579</f>
        <v>1461361887</v>
      </c>
      <c r="L570" s="156">
        <f t="shared" ref="L570" si="358">+L571+L576+L579</f>
        <v>0</v>
      </c>
      <c r="M570" s="156">
        <f t="shared" ref="M570" si="359">+M571+M576+M579</f>
        <v>1461361887</v>
      </c>
    </row>
    <row r="571" spans="2:13" s="13" customFormat="1" ht="15.75" customHeight="1" x14ac:dyDescent="0.25">
      <c r="B571" s="24"/>
      <c r="C571" s="24"/>
      <c r="D571" s="24"/>
      <c r="E571" s="24"/>
      <c r="F571" s="24"/>
      <c r="G571" s="24"/>
      <c r="H571" s="17" t="s">
        <v>629</v>
      </c>
      <c r="I571" s="18"/>
      <c r="J571" s="19" t="s">
        <v>239</v>
      </c>
      <c r="K571" s="156">
        <f>+K572</f>
        <v>116908951</v>
      </c>
      <c r="L571" s="156">
        <f t="shared" ref="L571:M572" si="360">+L572</f>
        <v>0</v>
      </c>
      <c r="M571" s="156">
        <f t="shared" si="360"/>
        <v>116908951</v>
      </c>
    </row>
    <row r="572" spans="2:13" ht="15.75" customHeight="1" x14ac:dyDescent="0.25">
      <c r="B572" s="16"/>
      <c r="C572" s="16"/>
      <c r="D572" s="16"/>
      <c r="E572" s="16"/>
      <c r="F572" s="16"/>
      <c r="G572" s="16"/>
      <c r="H572" s="17" t="s">
        <v>630</v>
      </c>
      <c r="I572" s="18"/>
      <c r="J572" s="19" t="s">
        <v>241</v>
      </c>
      <c r="K572" s="156">
        <f>+K573</f>
        <v>116908951</v>
      </c>
      <c r="L572" s="156">
        <f>+L573</f>
        <v>0</v>
      </c>
      <c r="M572" s="156">
        <f t="shared" si="360"/>
        <v>116908951</v>
      </c>
    </row>
    <row r="573" spans="2:13" s="13" customFormat="1" ht="15.75" customHeight="1" x14ac:dyDescent="0.25">
      <c r="B573" s="16" t="s">
        <v>1002</v>
      </c>
      <c r="C573" s="16" t="s">
        <v>1044</v>
      </c>
      <c r="D573" s="46" t="s">
        <v>1051</v>
      </c>
      <c r="E573" s="16" t="s">
        <v>1015</v>
      </c>
      <c r="F573" s="16" t="s">
        <v>1023</v>
      </c>
      <c r="G573" s="16" t="s">
        <v>1028</v>
      </c>
      <c r="H573" s="21" t="s">
        <v>631</v>
      </c>
      <c r="I573" s="18" t="str">
        <f>RIGHT(H573,4)</f>
        <v>151F</v>
      </c>
      <c r="J573" s="22" t="s">
        <v>241</v>
      </c>
      <c r="K573" s="23">
        <f>+K574</f>
        <v>116908951</v>
      </c>
      <c r="L573" s="23">
        <f>+L574</f>
        <v>0</v>
      </c>
      <c r="M573" s="126">
        <f>+Tabla13[[#This Row],[PF INICIAL]]+Tabla13[[#This Row],[AJUSTE 1]]</f>
        <v>116908951</v>
      </c>
    </row>
    <row r="574" spans="2:13" ht="15.75" customHeight="1" x14ac:dyDescent="0.25">
      <c r="B574" s="16"/>
      <c r="C574" s="16"/>
      <c r="D574" s="16"/>
      <c r="E574" s="16"/>
      <c r="F574" s="16"/>
      <c r="G574" s="16"/>
      <c r="H574" s="17" t="s">
        <v>632</v>
      </c>
      <c r="I574" s="18"/>
      <c r="J574" s="19" t="s">
        <v>633</v>
      </c>
      <c r="K574" s="156">
        <f>+K575</f>
        <v>116908951</v>
      </c>
      <c r="L574" s="156">
        <f>+L575</f>
        <v>0</v>
      </c>
      <c r="M574" s="156">
        <f t="shared" ref="M574" si="361">+M575</f>
        <v>116908951</v>
      </c>
    </row>
    <row r="575" spans="2:13" s="13" customFormat="1" ht="15.75" customHeight="1" x14ac:dyDescent="0.25">
      <c r="B575" s="16" t="s">
        <v>1002</v>
      </c>
      <c r="C575" s="16" t="s">
        <v>1044</v>
      </c>
      <c r="D575" s="46" t="s">
        <v>1051</v>
      </c>
      <c r="E575" s="16" t="s">
        <v>1015</v>
      </c>
      <c r="F575" s="16" t="s">
        <v>1023</v>
      </c>
      <c r="G575" s="16" t="s">
        <v>1034</v>
      </c>
      <c r="H575" s="21" t="s">
        <v>634</v>
      </c>
      <c r="I575" s="18" t="str">
        <f>RIGHT(H575,4)</f>
        <v xml:space="preserve"> 151</v>
      </c>
      <c r="J575" s="22" t="s">
        <v>633</v>
      </c>
      <c r="K575" s="23">
        <v>116908951</v>
      </c>
      <c r="L575" s="23"/>
      <c r="M575" s="126">
        <f>+Tabla13[[#This Row],[PF INICIAL]]+Tabla13[[#This Row],[AJUSTE 1]]</f>
        <v>116908951</v>
      </c>
    </row>
    <row r="576" spans="2:13" s="13" customFormat="1" ht="15.75" customHeight="1" x14ac:dyDescent="0.25">
      <c r="B576" s="24"/>
      <c r="C576" s="24"/>
      <c r="D576" s="24"/>
      <c r="E576" s="24"/>
      <c r="F576" s="24"/>
      <c r="G576" s="24"/>
      <c r="H576" s="17" t="s">
        <v>635</v>
      </c>
      <c r="I576" s="18"/>
      <c r="J576" s="19" t="s">
        <v>636</v>
      </c>
      <c r="K576" s="156">
        <f>+K577</f>
        <v>1344452936</v>
      </c>
      <c r="L576" s="156">
        <f t="shared" ref="L576:M577" si="362">+L577</f>
        <v>0</v>
      </c>
      <c r="M576" s="156">
        <f t="shared" si="362"/>
        <v>1344452936</v>
      </c>
    </row>
    <row r="577" spans="2:13" ht="15.75" customHeight="1" x14ac:dyDescent="0.25">
      <c r="B577" s="16"/>
      <c r="C577" s="16"/>
      <c r="D577" s="16"/>
      <c r="E577" s="16"/>
      <c r="F577" s="16"/>
      <c r="G577" s="16"/>
      <c r="H577" s="17" t="s">
        <v>637</v>
      </c>
      <c r="I577" s="18"/>
      <c r="J577" s="19" t="s">
        <v>638</v>
      </c>
      <c r="K577" s="156">
        <f>+K578</f>
        <v>1344452936</v>
      </c>
      <c r="L577" s="156">
        <f t="shared" si="362"/>
        <v>0</v>
      </c>
      <c r="M577" s="156">
        <f t="shared" si="362"/>
        <v>1344452936</v>
      </c>
    </row>
    <row r="578" spans="2:13" s="13" customFormat="1" ht="15.75" customHeight="1" x14ac:dyDescent="0.25">
      <c r="B578" s="16" t="s">
        <v>1002</v>
      </c>
      <c r="C578" s="16" t="s">
        <v>1044</v>
      </c>
      <c r="D578" s="46" t="s">
        <v>1051</v>
      </c>
      <c r="E578" s="16" t="s">
        <v>1015</v>
      </c>
      <c r="F578" s="16" t="s">
        <v>1023</v>
      </c>
      <c r="G578" s="16" t="s">
        <v>1034</v>
      </c>
      <c r="H578" s="21" t="s">
        <v>639</v>
      </c>
      <c r="I578" s="18" t="str">
        <f>RIGHT(H578,4)</f>
        <v xml:space="preserve"> 151</v>
      </c>
      <c r="J578" s="22" t="s">
        <v>638</v>
      </c>
      <c r="K578" s="23">
        <v>1344452936</v>
      </c>
      <c r="L578" s="23"/>
      <c r="M578" s="126">
        <f>+Tabla13[[#This Row],[PF INICIAL]]+Tabla13[[#This Row],[AJUSTE 1]]</f>
        <v>1344452936</v>
      </c>
    </row>
    <row r="579" spans="2:13" s="13" customFormat="1" ht="15.75" customHeight="1" x14ac:dyDescent="0.25">
      <c r="B579" s="24"/>
      <c r="C579" s="24"/>
      <c r="D579" s="24"/>
      <c r="E579" s="24"/>
      <c r="F579" s="24"/>
      <c r="G579" s="24"/>
      <c r="H579" s="17" t="s">
        <v>640</v>
      </c>
      <c r="I579" s="18"/>
      <c r="J579" s="19" t="s">
        <v>267</v>
      </c>
      <c r="K579" s="156">
        <f>+K580</f>
        <v>0</v>
      </c>
      <c r="L579" s="156">
        <f t="shared" ref="L579:M580" si="363">+L580</f>
        <v>0</v>
      </c>
      <c r="M579" s="156">
        <f t="shared" si="363"/>
        <v>0</v>
      </c>
    </row>
    <row r="580" spans="2:13" ht="15.75" customHeight="1" x14ac:dyDescent="0.25">
      <c r="B580" s="16"/>
      <c r="C580" s="16"/>
      <c r="D580" s="16"/>
      <c r="E580" s="16"/>
      <c r="F580" s="16"/>
      <c r="G580" s="16"/>
      <c r="H580" s="17" t="s">
        <v>641</v>
      </c>
      <c r="I580" s="18"/>
      <c r="J580" s="19" t="s">
        <v>271</v>
      </c>
      <c r="K580" s="156">
        <f>+K581</f>
        <v>0</v>
      </c>
      <c r="L580" s="156">
        <f t="shared" si="363"/>
        <v>0</v>
      </c>
      <c r="M580" s="156">
        <f t="shared" si="363"/>
        <v>0</v>
      </c>
    </row>
    <row r="581" spans="2:13" ht="15" customHeight="1" x14ac:dyDescent="0.2">
      <c r="B581" s="16" t="s">
        <v>1002</v>
      </c>
      <c r="C581" s="16" t="s">
        <v>1044</v>
      </c>
      <c r="D581" s="46" t="s">
        <v>1051</v>
      </c>
      <c r="E581" s="16" t="s">
        <v>1015</v>
      </c>
      <c r="F581" s="16" t="s">
        <v>1023</v>
      </c>
      <c r="G581" s="16" t="s">
        <v>1030</v>
      </c>
      <c r="H581" s="21" t="s">
        <v>642</v>
      </c>
      <c r="I581" s="18" t="str">
        <f>RIGHT(H581,4)</f>
        <v>151R</v>
      </c>
      <c r="J581" s="22" t="s">
        <v>271</v>
      </c>
      <c r="K581" s="23">
        <v>0</v>
      </c>
      <c r="L581" s="23"/>
      <c r="M581" s="126">
        <f>+Tabla13[[#This Row],[PF INICIAL]]+Tabla13[[#This Row],[AJUSTE 1]]</f>
        <v>0</v>
      </c>
    </row>
    <row r="582" spans="2:13" ht="16.5" customHeight="1" x14ac:dyDescent="0.25">
      <c r="B582" s="16"/>
      <c r="C582" s="16"/>
      <c r="D582" s="16"/>
      <c r="E582" s="16"/>
      <c r="F582" s="16"/>
      <c r="G582" s="16"/>
      <c r="H582" s="25" t="s">
        <v>801</v>
      </c>
      <c r="I582" s="186"/>
      <c r="J582" s="25"/>
      <c r="K582" s="153">
        <f>+K560</f>
        <v>1461361887</v>
      </c>
      <c r="L582" s="153">
        <f t="shared" ref="L582" si="364">+L560</f>
        <v>0</v>
      </c>
      <c r="M582" s="153">
        <f t="shared" ref="M582" si="365">+M560</f>
        <v>1461361887</v>
      </c>
    </row>
    <row r="583" spans="2:13" ht="15.75" customHeight="1" x14ac:dyDescent="0.25">
      <c r="B583" s="16"/>
      <c r="C583" s="16"/>
      <c r="D583" s="16"/>
      <c r="E583" s="16"/>
      <c r="F583" s="16"/>
      <c r="G583" s="16"/>
      <c r="H583" s="45"/>
      <c r="I583" s="46"/>
      <c r="J583" s="25"/>
      <c r="K583" s="153"/>
      <c r="L583" s="153"/>
      <c r="M583" s="153"/>
    </row>
    <row r="584" spans="2:13" ht="15.75" customHeight="1" x14ac:dyDescent="0.2">
      <c r="B584" s="16"/>
      <c r="C584" s="16"/>
      <c r="D584" s="16"/>
      <c r="E584" s="16"/>
      <c r="F584" s="16"/>
      <c r="G584" s="16"/>
      <c r="H584" s="28" t="s">
        <v>802</v>
      </c>
      <c r="I584" s="29"/>
      <c r="J584" s="30"/>
      <c r="K584" s="158"/>
      <c r="L584" s="158"/>
      <c r="M584" s="158"/>
    </row>
    <row r="585" spans="2:13" ht="16.5" customHeight="1" x14ac:dyDescent="0.2">
      <c r="B585" s="16"/>
      <c r="C585" s="16"/>
      <c r="D585" s="16"/>
      <c r="E585" s="16"/>
      <c r="F585" s="16"/>
      <c r="G585" s="16"/>
      <c r="H585" s="31" t="s">
        <v>779</v>
      </c>
      <c r="I585" s="29"/>
      <c r="J585" s="47" t="s">
        <v>803</v>
      </c>
      <c r="K585" s="155"/>
      <c r="L585" s="155"/>
      <c r="M585" s="155"/>
    </row>
    <row r="586" spans="2:13" s="13" customFormat="1" ht="15.75" customHeight="1" x14ac:dyDescent="0.25">
      <c r="B586" s="24"/>
      <c r="C586" s="24"/>
      <c r="D586" s="24"/>
      <c r="E586" s="24"/>
      <c r="F586" s="24"/>
      <c r="G586" s="24"/>
      <c r="H586" s="17" t="s">
        <v>643</v>
      </c>
      <c r="I586" s="18"/>
      <c r="J586" s="19" t="s">
        <v>1</v>
      </c>
      <c r="K586" s="156">
        <f>+K587+K610</f>
        <v>75255807463</v>
      </c>
      <c r="L586" s="156">
        <f t="shared" ref="L586" si="366">+L587+L610</f>
        <v>0</v>
      </c>
      <c r="M586" s="156">
        <f t="shared" ref="M586" si="367">+M587+M610</f>
        <v>75255807463</v>
      </c>
    </row>
    <row r="587" spans="2:13" s="13" customFormat="1" ht="15.75" customHeight="1" x14ac:dyDescent="0.25">
      <c r="B587" s="24"/>
      <c r="C587" s="24"/>
      <c r="D587" s="24"/>
      <c r="E587" s="24"/>
      <c r="F587" s="24"/>
      <c r="G587" s="24"/>
      <c r="H587" s="17" t="s">
        <v>644</v>
      </c>
      <c r="I587" s="18"/>
      <c r="J587" s="19" t="s">
        <v>3</v>
      </c>
      <c r="K587" s="156">
        <f>+K588+K604</f>
        <v>37755807463</v>
      </c>
      <c r="L587" s="156">
        <f t="shared" ref="L587" si="368">+L588+L604</f>
        <v>0</v>
      </c>
      <c r="M587" s="156">
        <f t="shared" ref="M587" si="369">+M588+M604</f>
        <v>37755807463</v>
      </c>
    </row>
    <row r="588" spans="2:13" s="13" customFormat="1" ht="15.75" customHeight="1" x14ac:dyDescent="0.25">
      <c r="B588" s="24"/>
      <c r="C588" s="24"/>
      <c r="D588" s="24"/>
      <c r="E588" s="24"/>
      <c r="F588" s="24"/>
      <c r="G588" s="24"/>
      <c r="H588" s="17" t="s">
        <v>645</v>
      </c>
      <c r="I588" s="18"/>
      <c r="J588" s="19" t="s">
        <v>5</v>
      </c>
      <c r="K588" s="156">
        <f>+K589</f>
        <v>36555807463</v>
      </c>
      <c r="L588" s="156">
        <f t="shared" ref="L588:M588" si="370">+L589</f>
        <v>0</v>
      </c>
      <c r="M588" s="156">
        <f t="shared" si="370"/>
        <v>36555807463</v>
      </c>
    </row>
    <row r="589" spans="2:13" ht="15.75" customHeight="1" x14ac:dyDescent="0.25">
      <c r="B589" s="16"/>
      <c r="C589" s="16"/>
      <c r="D589" s="16"/>
      <c r="E589" s="16"/>
      <c r="F589" s="16"/>
      <c r="G589" s="16"/>
      <c r="H589" s="17" t="s">
        <v>646</v>
      </c>
      <c r="I589" s="18"/>
      <c r="J589" s="19" t="s">
        <v>14</v>
      </c>
      <c r="K589" s="156">
        <f>+K590+K595</f>
        <v>36555807463</v>
      </c>
      <c r="L589" s="156">
        <f t="shared" ref="L589" si="371">+L590+L595</f>
        <v>0</v>
      </c>
      <c r="M589" s="156">
        <f t="shared" ref="M589" si="372">+M590+M595</f>
        <v>36555807463</v>
      </c>
    </row>
    <row r="590" spans="2:13" s="13" customFormat="1" ht="15.75" customHeight="1" x14ac:dyDescent="0.25">
      <c r="B590" s="24"/>
      <c r="C590" s="24"/>
      <c r="D590" s="24"/>
      <c r="E590" s="24"/>
      <c r="F590" s="24"/>
      <c r="G590" s="24"/>
      <c r="H590" s="17" t="s">
        <v>647</v>
      </c>
      <c r="I590" s="18"/>
      <c r="J590" s="19" t="s">
        <v>16</v>
      </c>
      <c r="K590" s="156">
        <f>+K591+K593</f>
        <v>3507192772</v>
      </c>
      <c r="L590" s="156">
        <f t="shared" ref="L590" si="373">+L591+L593</f>
        <v>0</v>
      </c>
      <c r="M590" s="156">
        <f t="shared" ref="M590" si="374">+M591+M593</f>
        <v>3507192772</v>
      </c>
    </row>
    <row r="591" spans="2:13" s="13" customFormat="1" ht="15.75" customHeight="1" x14ac:dyDescent="0.25">
      <c r="B591" s="24"/>
      <c r="C591" s="24"/>
      <c r="D591" s="24"/>
      <c r="E591" s="24"/>
      <c r="F591" s="24"/>
      <c r="G591" s="24"/>
      <c r="H591" s="17" t="s">
        <v>648</v>
      </c>
      <c r="I591" s="18"/>
      <c r="J591" s="19" t="s">
        <v>18</v>
      </c>
      <c r="K591" s="156">
        <f>+K592</f>
        <v>175359638</v>
      </c>
      <c r="L591" s="156">
        <f t="shared" ref="L591:M591" si="375">+L592</f>
        <v>0</v>
      </c>
      <c r="M591" s="156">
        <f t="shared" si="375"/>
        <v>175359638</v>
      </c>
    </row>
    <row r="592" spans="2:13" ht="15.75" customHeight="1" x14ac:dyDescent="0.2">
      <c r="B592" s="16" t="s">
        <v>1002</v>
      </c>
      <c r="C592" s="16" t="s">
        <v>1008</v>
      </c>
      <c r="D592" s="46" t="s">
        <v>1051</v>
      </c>
      <c r="E592" s="16" t="s">
        <v>1015</v>
      </c>
      <c r="F592" s="16" t="s">
        <v>1022</v>
      </c>
      <c r="G592" s="16" t="s">
        <v>1024</v>
      </c>
      <c r="H592" s="21" t="s">
        <v>649</v>
      </c>
      <c r="I592" s="18" t="str">
        <f t="shared" ref="I592:I603" si="376">RIGHT(H592,4)</f>
        <v>- 09</v>
      </c>
      <c r="J592" s="22" t="s">
        <v>18</v>
      </c>
      <c r="K592" s="23">
        <v>175359638</v>
      </c>
      <c r="L592" s="23"/>
      <c r="M592" s="126">
        <f>+Tabla13[[#This Row],[PF INICIAL]]+Tabla13[[#This Row],[AJUSTE 1]]</f>
        <v>175359638</v>
      </c>
    </row>
    <row r="593" spans="2:13" s="13" customFormat="1" ht="15.75" customHeight="1" x14ac:dyDescent="0.25">
      <c r="B593" s="24"/>
      <c r="C593" s="24"/>
      <c r="D593" s="24"/>
      <c r="E593" s="24"/>
      <c r="F593" s="24"/>
      <c r="G593" s="24"/>
      <c r="H593" s="17" t="s">
        <v>650</v>
      </c>
      <c r="I593" s="18"/>
      <c r="J593" s="19" t="s">
        <v>22</v>
      </c>
      <c r="K593" s="156">
        <f>+K594</f>
        <v>3331833134</v>
      </c>
      <c r="L593" s="156">
        <f t="shared" ref="L593:M593" si="377">+L594</f>
        <v>0</v>
      </c>
      <c r="M593" s="156">
        <f t="shared" si="377"/>
        <v>3331833134</v>
      </c>
    </row>
    <row r="594" spans="2:13" ht="15.75" customHeight="1" x14ac:dyDescent="0.2">
      <c r="B594" s="16" t="s">
        <v>1002</v>
      </c>
      <c r="C594" s="16" t="s">
        <v>1008</v>
      </c>
      <c r="D594" s="46" t="s">
        <v>1051</v>
      </c>
      <c r="E594" s="16" t="s">
        <v>1015</v>
      </c>
      <c r="F594" s="16" t="s">
        <v>1022</v>
      </c>
      <c r="G594" s="16" t="s">
        <v>1024</v>
      </c>
      <c r="H594" s="21" t="s">
        <v>651</v>
      </c>
      <c r="I594" s="18" t="str">
        <f t="shared" si="376"/>
        <v>- 09</v>
      </c>
      <c r="J594" s="22" t="s">
        <v>22</v>
      </c>
      <c r="K594" s="23">
        <v>3331833134</v>
      </c>
      <c r="L594" s="23"/>
      <c r="M594" s="126">
        <f>+Tabla13[[#This Row],[PF INICIAL]]+Tabla13[[#This Row],[AJUSTE 1]]</f>
        <v>3331833134</v>
      </c>
    </row>
    <row r="595" spans="2:13" s="13" customFormat="1" ht="15.75" customHeight="1" x14ac:dyDescent="0.25">
      <c r="B595" s="24"/>
      <c r="C595" s="24"/>
      <c r="D595" s="24"/>
      <c r="E595" s="24"/>
      <c r="F595" s="24"/>
      <c r="G595" s="24"/>
      <c r="H595" s="17" t="s">
        <v>652</v>
      </c>
      <c r="I595" s="18"/>
      <c r="J595" s="19" t="s">
        <v>72</v>
      </c>
      <c r="K595" s="156">
        <f>SUM(K596:K603)</f>
        <v>33048614691</v>
      </c>
      <c r="L595" s="156">
        <f t="shared" ref="L595" si="378">SUM(L596:L603)</f>
        <v>0</v>
      </c>
      <c r="M595" s="156">
        <f t="shared" ref="M595" si="379">SUM(M596:M603)</f>
        <v>33048614691</v>
      </c>
    </row>
    <row r="596" spans="2:13" ht="15" customHeight="1" x14ac:dyDescent="0.2">
      <c r="B596" s="16" t="s">
        <v>1002</v>
      </c>
      <c r="C596" s="16" t="s">
        <v>1008</v>
      </c>
      <c r="D596" s="46" t="s">
        <v>1051</v>
      </c>
      <c r="E596" s="16" t="s">
        <v>1015</v>
      </c>
      <c r="F596" s="16" t="s">
        <v>1022</v>
      </c>
      <c r="G596" s="16" t="s">
        <v>1024</v>
      </c>
      <c r="H596" s="21" t="s">
        <v>654</v>
      </c>
      <c r="I596" s="18" t="str">
        <f t="shared" si="376"/>
        <v>- 04</v>
      </c>
      <c r="J596" s="22" t="s">
        <v>76</v>
      </c>
      <c r="K596" s="23">
        <v>4284386118</v>
      </c>
      <c r="L596" s="23"/>
      <c r="M596" s="126">
        <f>+Tabla13[[#This Row],[PF INICIAL]]+Tabla13[[#This Row],[AJUSTE 1]]</f>
        <v>4284386118</v>
      </c>
    </row>
    <row r="597" spans="2:13" ht="15.75" customHeight="1" x14ac:dyDescent="0.2">
      <c r="B597" s="16" t="s">
        <v>1002</v>
      </c>
      <c r="C597" s="16" t="s">
        <v>1008</v>
      </c>
      <c r="D597" s="46" t="s">
        <v>1051</v>
      </c>
      <c r="E597" s="16" t="s">
        <v>1016</v>
      </c>
      <c r="F597" s="16" t="s">
        <v>1022</v>
      </c>
      <c r="G597" s="16" t="s">
        <v>1024</v>
      </c>
      <c r="H597" s="21" t="s">
        <v>655</v>
      </c>
      <c r="I597" s="18" t="str">
        <f t="shared" si="376"/>
        <v>- 05</v>
      </c>
      <c r="J597" s="22" t="s">
        <v>78</v>
      </c>
      <c r="K597" s="23">
        <v>2165041561</v>
      </c>
      <c r="L597" s="23"/>
      <c r="M597" s="126">
        <f>+Tabla13[[#This Row],[PF INICIAL]]+Tabla13[[#This Row],[AJUSTE 1]]</f>
        <v>2165041561</v>
      </c>
    </row>
    <row r="598" spans="2:13" x14ac:dyDescent="0.2">
      <c r="B598" s="16" t="s">
        <v>1002</v>
      </c>
      <c r="C598" s="16" t="s">
        <v>1008</v>
      </c>
      <c r="D598" s="46" t="s">
        <v>1051</v>
      </c>
      <c r="E598" s="16" t="s">
        <v>1016</v>
      </c>
      <c r="F598" s="16" t="s">
        <v>1022</v>
      </c>
      <c r="G598" s="16" t="s">
        <v>1024</v>
      </c>
      <c r="H598" s="21" t="s">
        <v>657</v>
      </c>
      <c r="I598" s="48" t="str">
        <f t="shared" si="376"/>
        <v>- 06</v>
      </c>
      <c r="J598" s="22" t="s">
        <v>82</v>
      </c>
      <c r="K598" s="23">
        <v>7714700000</v>
      </c>
      <c r="L598" s="23"/>
      <c r="M598" s="126">
        <f>+Tabla13[[#This Row],[PF INICIAL]]+Tabla13[[#This Row],[AJUSTE 1]]</f>
        <v>7714700000</v>
      </c>
    </row>
    <row r="599" spans="2:13" x14ac:dyDescent="0.2">
      <c r="B599" s="16" t="s">
        <v>1002</v>
      </c>
      <c r="C599" s="16" t="s">
        <v>1008</v>
      </c>
      <c r="D599" s="46" t="s">
        <v>1051</v>
      </c>
      <c r="E599" s="16" t="s">
        <v>1016</v>
      </c>
      <c r="F599" s="16" t="s">
        <v>1022</v>
      </c>
      <c r="G599" s="16" t="s">
        <v>1024</v>
      </c>
      <c r="H599" s="21" t="s">
        <v>653</v>
      </c>
      <c r="I599" s="18" t="str">
        <f t="shared" si="376"/>
        <v>- 08</v>
      </c>
      <c r="J599" s="22" t="s">
        <v>74</v>
      </c>
      <c r="K599" s="23">
        <v>3427544116</v>
      </c>
      <c r="L599" s="23"/>
      <c r="M599" s="126">
        <f>+Tabla13[[#This Row],[PF INICIAL]]+Tabla13[[#This Row],[AJUSTE 1]]</f>
        <v>3427544116</v>
      </c>
    </row>
    <row r="600" spans="2:13" x14ac:dyDescent="0.2">
      <c r="B600" s="16" t="s">
        <v>1002</v>
      </c>
      <c r="C600" s="16" t="s">
        <v>1008</v>
      </c>
      <c r="D600" s="46" t="s">
        <v>1051</v>
      </c>
      <c r="E600" s="16" t="s">
        <v>1016</v>
      </c>
      <c r="F600" s="16" t="s">
        <v>1022</v>
      </c>
      <c r="G600" s="16" t="s">
        <v>1024</v>
      </c>
      <c r="H600" s="21" t="s">
        <v>658</v>
      </c>
      <c r="I600" s="18" t="str">
        <f t="shared" si="376"/>
        <v>- 12</v>
      </c>
      <c r="J600" s="22" t="s">
        <v>84</v>
      </c>
      <c r="K600" s="23">
        <v>3844832137</v>
      </c>
      <c r="L600" s="23"/>
      <c r="M600" s="126">
        <f>+Tabla13[[#This Row],[PF INICIAL]]+Tabla13[[#This Row],[AJUSTE 1]]</f>
        <v>3844832137</v>
      </c>
    </row>
    <row r="601" spans="2:13" x14ac:dyDescent="0.2">
      <c r="B601" s="16" t="s">
        <v>1002</v>
      </c>
      <c r="C601" s="16" t="s">
        <v>1008</v>
      </c>
      <c r="D601" s="46" t="s">
        <v>1051</v>
      </c>
      <c r="E601" s="16" t="s">
        <v>1016</v>
      </c>
      <c r="F601" s="16" t="s">
        <v>1022</v>
      </c>
      <c r="G601" s="16" t="s">
        <v>1024</v>
      </c>
      <c r="H601" s="21" t="s">
        <v>656</v>
      </c>
      <c r="I601" s="18" t="str">
        <f t="shared" si="376"/>
        <v>- 45</v>
      </c>
      <c r="J601" s="22" t="s">
        <v>80</v>
      </c>
      <c r="K601" s="23">
        <v>4430582867</v>
      </c>
      <c r="L601" s="23"/>
      <c r="M601" s="126">
        <f>+Tabla13[[#This Row],[PF INICIAL]]+Tabla13[[#This Row],[AJUSTE 1]]</f>
        <v>4430582867</v>
      </c>
    </row>
    <row r="602" spans="2:13" x14ac:dyDescent="0.2">
      <c r="B602" s="16" t="s">
        <v>1002</v>
      </c>
      <c r="C602" s="16" t="s">
        <v>1008</v>
      </c>
      <c r="D602" s="46" t="s">
        <v>1051</v>
      </c>
      <c r="E602" s="16" t="s">
        <v>1016</v>
      </c>
      <c r="F602" s="16" t="s">
        <v>1022</v>
      </c>
      <c r="G602" s="16" t="s">
        <v>1024</v>
      </c>
      <c r="H602" s="21" t="s">
        <v>992</v>
      </c>
      <c r="I602" s="18" t="str">
        <f t="shared" si="376"/>
        <v>- 47</v>
      </c>
      <c r="J602" s="22" t="s">
        <v>993</v>
      </c>
      <c r="K602" s="23">
        <v>2039343071</v>
      </c>
      <c r="L602" s="23"/>
      <c r="M602" s="126">
        <f>+Tabla13[[#This Row],[PF INICIAL]]+Tabla13[[#This Row],[AJUSTE 1]]</f>
        <v>2039343071</v>
      </c>
    </row>
    <row r="603" spans="2:13" s="13" customFormat="1" ht="28.5" x14ac:dyDescent="0.25">
      <c r="B603" s="16" t="s">
        <v>1002</v>
      </c>
      <c r="C603" s="16" t="s">
        <v>1008</v>
      </c>
      <c r="D603" s="46" t="s">
        <v>1051</v>
      </c>
      <c r="E603" s="16" t="s">
        <v>1016</v>
      </c>
      <c r="F603" s="16" t="s">
        <v>1022</v>
      </c>
      <c r="G603" s="16" t="s">
        <v>1024</v>
      </c>
      <c r="H603" s="21" t="s">
        <v>659</v>
      </c>
      <c r="I603" s="18" t="str">
        <f t="shared" si="376"/>
        <v>- 84</v>
      </c>
      <c r="J603" s="22" t="s">
        <v>790</v>
      </c>
      <c r="K603" s="23">
        <v>5142184821</v>
      </c>
      <c r="L603" s="23"/>
      <c r="M603" s="126">
        <f>+Tabla13[[#This Row],[PF INICIAL]]+Tabla13[[#This Row],[AJUSTE 1]]</f>
        <v>5142184821</v>
      </c>
    </row>
    <row r="604" spans="2:13" s="13" customFormat="1" ht="15" x14ac:dyDescent="0.25">
      <c r="B604" s="24"/>
      <c r="C604" s="24"/>
      <c r="D604" s="24"/>
      <c r="E604" s="24"/>
      <c r="F604" s="24"/>
      <c r="G604" s="24"/>
      <c r="H604" s="17" t="s">
        <v>660</v>
      </c>
      <c r="I604" s="18"/>
      <c r="J604" s="19" t="s">
        <v>86</v>
      </c>
      <c r="K604" s="156">
        <f t="shared" ref="K604:K607" si="380">+K605</f>
        <v>1200000000</v>
      </c>
      <c r="L604" s="156">
        <f t="shared" ref="L604:M608" si="381">+L605</f>
        <v>0</v>
      </c>
      <c r="M604" s="156">
        <f t="shared" si="381"/>
        <v>1200000000</v>
      </c>
    </row>
    <row r="605" spans="2:13" ht="15" x14ac:dyDescent="0.25">
      <c r="B605" s="16"/>
      <c r="C605" s="16"/>
      <c r="D605" s="16"/>
      <c r="E605" s="16"/>
      <c r="F605" s="16"/>
      <c r="G605" s="16"/>
      <c r="H605" s="17" t="s">
        <v>661</v>
      </c>
      <c r="I605" s="18"/>
      <c r="J605" s="19" t="s">
        <v>164</v>
      </c>
      <c r="K605" s="156">
        <f t="shared" si="380"/>
        <v>1200000000</v>
      </c>
      <c r="L605" s="156">
        <f t="shared" si="381"/>
        <v>0</v>
      </c>
      <c r="M605" s="156">
        <f t="shared" si="381"/>
        <v>1200000000</v>
      </c>
    </row>
    <row r="606" spans="2:13" ht="15" x14ac:dyDescent="0.25">
      <c r="B606" s="16"/>
      <c r="C606" s="16"/>
      <c r="D606" s="16"/>
      <c r="E606" s="16"/>
      <c r="F606" s="16"/>
      <c r="G606" s="16"/>
      <c r="H606" s="21" t="s">
        <v>662</v>
      </c>
      <c r="I606" s="18"/>
      <c r="J606" s="22" t="s">
        <v>663</v>
      </c>
      <c r="K606" s="156">
        <f t="shared" si="380"/>
        <v>1200000000</v>
      </c>
      <c r="L606" s="156">
        <f t="shared" si="381"/>
        <v>0</v>
      </c>
      <c r="M606" s="156">
        <f t="shared" si="381"/>
        <v>1200000000</v>
      </c>
    </row>
    <row r="607" spans="2:13" ht="15" x14ac:dyDescent="0.25">
      <c r="B607" s="16"/>
      <c r="C607" s="16"/>
      <c r="D607" s="16"/>
      <c r="E607" s="16"/>
      <c r="F607" s="16"/>
      <c r="G607" s="16"/>
      <c r="H607" s="21" t="s">
        <v>664</v>
      </c>
      <c r="I607" s="18"/>
      <c r="J607" s="22" t="s">
        <v>665</v>
      </c>
      <c r="K607" s="156">
        <f t="shared" si="380"/>
        <v>1200000000</v>
      </c>
      <c r="L607" s="156">
        <f t="shared" si="381"/>
        <v>0</v>
      </c>
      <c r="M607" s="156">
        <f t="shared" si="381"/>
        <v>1200000000</v>
      </c>
    </row>
    <row r="608" spans="2:13" s="13" customFormat="1" ht="15" x14ac:dyDescent="0.25">
      <c r="B608" s="24"/>
      <c r="C608" s="24"/>
      <c r="D608" s="24"/>
      <c r="E608" s="24"/>
      <c r="F608" s="24"/>
      <c r="G608" s="24"/>
      <c r="H608" s="17" t="s">
        <v>666</v>
      </c>
      <c r="I608" s="18"/>
      <c r="J608" s="19" t="s">
        <v>667</v>
      </c>
      <c r="K608" s="156">
        <f>+K609</f>
        <v>1200000000</v>
      </c>
      <c r="L608" s="156">
        <f t="shared" si="381"/>
        <v>0</v>
      </c>
      <c r="M608" s="156">
        <f t="shared" si="381"/>
        <v>1200000000</v>
      </c>
    </row>
    <row r="609" spans="2:13" s="13" customFormat="1" ht="15" x14ac:dyDescent="0.25">
      <c r="B609" s="16" t="s">
        <v>1002</v>
      </c>
      <c r="C609" s="16" t="s">
        <v>1008</v>
      </c>
      <c r="D609" s="46" t="s">
        <v>1051</v>
      </c>
      <c r="E609" s="16" t="s">
        <v>1015</v>
      </c>
      <c r="F609" s="16" t="s">
        <v>1022</v>
      </c>
      <c r="G609" s="16" t="s">
        <v>1025</v>
      </c>
      <c r="H609" s="21" t="s">
        <v>668</v>
      </c>
      <c r="I609" s="18" t="str">
        <f>RIGHT(H609,4)</f>
        <v>- 69</v>
      </c>
      <c r="J609" s="22" t="s">
        <v>667</v>
      </c>
      <c r="K609" s="23">
        <v>1200000000</v>
      </c>
      <c r="L609" s="23"/>
      <c r="M609" s="126">
        <f>+Tabla13[[#This Row],[PF INICIAL]]+Tabla13[[#This Row],[AJUSTE 1]]</f>
        <v>1200000000</v>
      </c>
    </row>
    <row r="610" spans="2:13" s="13" customFormat="1" ht="15" x14ac:dyDescent="0.25">
      <c r="B610" s="24"/>
      <c r="C610" s="24"/>
      <c r="D610" s="24"/>
      <c r="E610" s="24"/>
      <c r="F610" s="24"/>
      <c r="G610" s="24"/>
      <c r="H610" s="17" t="s">
        <v>669</v>
      </c>
      <c r="I610" s="18"/>
      <c r="J610" s="19" t="s">
        <v>225</v>
      </c>
      <c r="K610" s="156">
        <f>+K611+K622+K630+K634</f>
        <v>37500000000</v>
      </c>
      <c r="L610" s="156">
        <f t="shared" ref="L610" si="382">+L611+L622+L630+L634</f>
        <v>0</v>
      </c>
      <c r="M610" s="156">
        <f t="shared" ref="M610" si="383">+M611+M622+M630+M634</f>
        <v>37500000000</v>
      </c>
    </row>
    <row r="611" spans="2:13" s="13" customFormat="1" ht="15" x14ac:dyDescent="0.25">
      <c r="B611" s="24"/>
      <c r="C611" s="24"/>
      <c r="D611" s="24"/>
      <c r="E611" s="24"/>
      <c r="F611" s="24"/>
      <c r="G611" s="24"/>
      <c r="H611" s="17" t="s">
        <v>670</v>
      </c>
      <c r="I611" s="18"/>
      <c r="J611" s="19" t="s">
        <v>239</v>
      </c>
      <c r="K611" s="156">
        <f>+K612</f>
        <v>0</v>
      </c>
      <c r="L611" s="156">
        <f t="shared" ref="L611:M611" si="384">+L612</f>
        <v>0</v>
      </c>
      <c r="M611" s="156">
        <f t="shared" si="384"/>
        <v>0</v>
      </c>
    </row>
    <row r="612" spans="2:13" ht="15" x14ac:dyDescent="0.25">
      <c r="B612" s="16"/>
      <c r="C612" s="16"/>
      <c r="D612" s="16"/>
      <c r="E612" s="16"/>
      <c r="F612" s="16"/>
      <c r="G612" s="16"/>
      <c r="H612" s="17" t="s">
        <v>671</v>
      </c>
      <c r="I612" s="18"/>
      <c r="J612" s="19" t="s">
        <v>241</v>
      </c>
      <c r="K612" s="156">
        <f>SUM(K613:K621)</f>
        <v>0</v>
      </c>
      <c r="L612" s="156">
        <f t="shared" ref="L612" si="385">SUM(L613:L621)</f>
        <v>0</v>
      </c>
      <c r="M612" s="156">
        <f t="shared" ref="M612" si="386">SUM(M613:M621)</f>
        <v>0</v>
      </c>
    </row>
    <row r="613" spans="2:13" x14ac:dyDescent="0.2">
      <c r="B613" s="16" t="s">
        <v>1002</v>
      </c>
      <c r="C613" s="16" t="s">
        <v>1008</v>
      </c>
      <c r="D613" s="46" t="s">
        <v>1051</v>
      </c>
      <c r="E613" s="16" t="s">
        <v>1016</v>
      </c>
      <c r="F613" s="16" t="s">
        <v>1023</v>
      </c>
      <c r="G613" s="16" t="s">
        <v>1028</v>
      </c>
      <c r="H613" s="21" t="s">
        <v>672</v>
      </c>
      <c r="I613" s="18" t="str">
        <f t="shared" ref="I613:I621" si="387">RIGHT(H613,4)</f>
        <v xml:space="preserve"> 04F</v>
      </c>
      <c r="J613" s="22" t="s">
        <v>241</v>
      </c>
      <c r="K613" s="23">
        <v>0</v>
      </c>
      <c r="L613" s="23"/>
      <c r="M613" s="126">
        <f>+Tabla13[[#This Row],[PF INICIAL]]+Tabla13[[#This Row],[AJUSTE 1]]</f>
        <v>0</v>
      </c>
    </row>
    <row r="614" spans="2:13" x14ac:dyDescent="0.2">
      <c r="B614" s="16" t="s">
        <v>1002</v>
      </c>
      <c r="C614" s="16" t="s">
        <v>1008</v>
      </c>
      <c r="D614" s="46" t="s">
        <v>1051</v>
      </c>
      <c r="E614" s="16" t="s">
        <v>1016</v>
      </c>
      <c r="F614" s="16" t="s">
        <v>1023</v>
      </c>
      <c r="G614" s="16" t="s">
        <v>1028</v>
      </c>
      <c r="H614" s="21" t="s">
        <v>673</v>
      </c>
      <c r="I614" s="18" t="str">
        <f t="shared" si="387"/>
        <v xml:space="preserve"> 05F</v>
      </c>
      <c r="J614" s="22" t="s">
        <v>241</v>
      </c>
      <c r="K614" s="23">
        <v>0</v>
      </c>
      <c r="L614" s="23"/>
      <c r="M614" s="126">
        <f>+Tabla13[[#This Row],[PF INICIAL]]+Tabla13[[#This Row],[AJUSTE 1]]</f>
        <v>0</v>
      </c>
    </row>
    <row r="615" spans="2:13" x14ac:dyDescent="0.2">
      <c r="B615" s="16" t="s">
        <v>1002</v>
      </c>
      <c r="C615" s="16" t="s">
        <v>1008</v>
      </c>
      <c r="D615" s="46" t="s">
        <v>1051</v>
      </c>
      <c r="E615" s="16" t="s">
        <v>1016</v>
      </c>
      <c r="F615" s="16" t="s">
        <v>1023</v>
      </c>
      <c r="G615" s="16" t="s">
        <v>1028</v>
      </c>
      <c r="H615" s="21" t="s">
        <v>674</v>
      </c>
      <c r="I615" s="18" t="str">
        <f t="shared" si="387"/>
        <v>06DF</v>
      </c>
      <c r="J615" s="22" t="s">
        <v>241</v>
      </c>
      <c r="K615" s="23">
        <v>0</v>
      </c>
      <c r="L615" s="23"/>
      <c r="M615" s="126">
        <f>+Tabla13[[#This Row],[PF INICIAL]]+Tabla13[[#This Row],[AJUSTE 1]]</f>
        <v>0</v>
      </c>
    </row>
    <row r="616" spans="2:13" x14ac:dyDescent="0.2">
      <c r="B616" s="16" t="s">
        <v>1002</v>
      </c>
      <c r="C616" s="16" t="s">
        <v>1008</v>
      </c>
      <c r="D616" s="46" t="s">
        <v>1051</v>
      </c>
      <c r="E616" s="16" t="s">
        <v>1016</v>
      </c>
      <c r="F616" s="16" t="s">
        <v>1023</v>
      </c>
      <c r="G616" s="16" t="s">
        <v>1028</v>
      </c>
      <c r="H616" s="21" t="s">
        <v>675</v>
      </c>
      <c r="I616" s="18" t="str">
        <f t="shared" si="387"/>
        <v xml:space="preserve"> 06F</v>
      </c>
      <c r="J616" s="22" t="s">
        <v>241</v>
      </c>
      <c r="K616" s="23">
        <v>0</v>
      </c>
      <c r="L616" s="23"/>
      <c r="M616" s="126">
        <f>+Tabla13[[#This Row],[PF INICIAL]]+Tabla13[[#This Row],[AJUSTE 1]]</f>
        <v>0</v>
      </c>
    </row>
    <row r="617" spans="2:13" x14ac:dyDescent="0.2">
      <c r="B617" s="16" t="s">
        <v>1002</v>
      </c>
      <c r="C617" s="16" t="s">
        <v>1008</v>
      </c>
      <c r="D617" s="46" t="s">
        <v>1051</v>
      </c>
      <c r="E617" s="16" t="s">
        <v>1015</v>
      </c>
      <c r="F617" s="16" t="s">
        <v>1023</v>
      </c>
      <c r="G617" s="16" t="s">
        <v>1028</v>
      </c>
      <c r="H617" s="21" t="s">
        <v>676</v>
      </c>
      <c r="I617" s="18" t="str">
        <f t="shared" si="387"/>
        <v xml:space="preserve"> 09F</v>
      </c>
      <c r="J617" s="22" t="s">
        <v>241</v>
      </c>
      <c r="K617" s="23">
        <v>0</v>
      </c>
      <c r="L617" s="23"/>
      <c r="M617" s="126">
        <f>+Tabla13[[#This Row],[PF INICIAL]]+Tabla13[[#This Row],[AJUSTE 1]]</f>
        <v>0</v>
      </c>
    </row>
    <row r="618" spans="2:13" x14ac:dyDescent="0.2">
      <c r="B618" s="16" t="s">
        <v>1002</v>
      </c>
      <c r="C618" s="16" t="s">
        <v>1008</v>
      </c>
      <c r="D618" s="46" t="s">
        <v>1051</v>
      </c>
      <c r="E618" s="16" t="s">
        <v>1015</v>
      </c>
      <c r="F618" s="16" t="s">
        <v>1023</v>
      </c>
      <c r="G618" s="16" t="s">
        <v>1028</v>
      </c>
      <c r="H618" s="21" t="s">
        <v>677</v>
      </c>
      <c r="I618" s="18" t="str">
        <f t="shared" si="387"/>
        <v>100F</v>
      </c>
      <c r="J618" s="22" t="s">
        <v>241</v>
      </c>
      <c r="K618" s="23">
        <v>0</v>
      </c>
      <c r="L618" s="23"/>
      <c r="M618" s="126">
        <f>+Tabla13[[#This Row],[PF INICIAL]]+Tabla13[[#This Row],[AJUSTE 1]]</f>
        <v>0</v>
      </c>
    </row>
    <row r="619" spans="2:13" x14ac:dyDescent="0.2">
      <c r="B619" s="16" t="s">
        <v>1002</v>
      </c>
      <c r="C619" s="16" t="s">
        <v>1008</v>
      </c>
      <c r="D619" s="46" t="s">
        <v>1051</v>
      </c>
      <c r="E619" s="16" t="s">
        <v>1016</v>
      </c>
      <c r="F619" s="16" t="s">
        <v>1023</v>
      </c>
      <c r="G619" s="16" t="s">
        <v>1028</v>
      </c>
      <c r="H619" s="21" t="s">
        <v>678</v>
      </c>
      <c r="I619" s="18" t="str">
        <f t="shared" si="387"/>
        <v xml:space="preserve"> 12F</v>
      </c>
      <c r="J619" s="22" t="s">
        <v>241</v>
      </c>
      <c r="K619" s="23">
        <v>0</v>
      </c>
      <c r="L619" s="23"/>
      <c r="M619" s="126">
        <f>+Tabla13[[#This Row],[PF INICIAL]]+Tabla13[[#This Row],[AJUSTE 1]]</f>
        <v>0</v>
      </c>
    </row>
    <row r="620" spans="2:13" x14ac:dyDescent="0.2">
      <c r="B620" s="16" t="s">
        <v>1002</v>
      </c>
      <c r="C620" s="16" t="s">
        <v>1008</v>
      </c>
      <c r="D620" s="46" t="s">
        <v>1051</v>
      </c>
      <c r="E620" s="16" t="s">
        <v>1015</v>
      </c>
      <c r="F620" s="16" t="s">
        <v>1023</v>
      </c>
      <c r="G620" s="16" t="s">
        <v>1028</v>
      </c>
      <c r="H620" s="21" t="s">
        <v>679</v>
      </c>
      <c r="I620" s="18" t="str">
        <f t="shared" si="387"/>
        <v xml:space="preserve"> 69F</v>
      </c>
      <c r="J620" s="22" t="s">
        <v>241</v>
      </c>
      <c r="K620" s="23">
        <v>0</v>
      </c>
      <c r="L620" s="23"/>
      <c r="M620" s="126">
        <f>+Tabla13[[#This Row],[PF INICIAL]]+Tabla13[[#This Row],[AJUSTE 1]]</f>
        <v>0</v>
      </c>
    </row>
    <row r="621" spans="2:13" s="13" customFormat="1" ht="15" x14ac:dyDescent="0.25">
      <c r="B621" s="16" t="s">
        <v>1002</v>
      </c>
      <c r="C621" s="16" t="s">
        <v>1008</v>
      </c>
      <c r="D621" s="46" t="s">
        <v>1051</v>
      </c>
      <c r="E621" s="16" t="s">
        <v>1016</v>
      </c>
      <c r="F621" s="16" t="s">
        <v>1023</v>
      </c>
      <c r="G621" s="16" t="s">
        <v>1028</v>
      </c>
      <c r="H621" s="21" t="s">
        <v>680</v>
      </c>
      <c r="I621" s="18" t="str">
        <f t="shared" si="387"/>
        <v xml:space="preserve"> 84F</v>
      </c>
      <c r="J621" s="22" t="s">
        <v>241</v>
      </c>
      <c r="K621" s="23">
        <v>0</v>
      </c>
      <c r="L621" s="23"/>
      <c r="M621" s="126">
        <f>+Tabla13[[#This Row],[PF INICIAL]]+Tabla13[[#This Row],[AJUSTE 1]]</f>
        <v>0</v>
      </c>
    </row>
    <row r="622" spans="2:13" s="13" customFormat="1" ht="15" x14ac:dyDescent="0.25">
      <c r="B622" s="24"/>
      <c r="C622" s="24"/>
      <c r="D622" s="24"/>
      <c r="E622" s="24"/>
      <c r="F622" s="24"/>
      <c r="G622" s="24"/>
      <c r="H622" s="17" t="s">
        <v>681</v>
      </c>
      <c r="I622" s="18"/>
      <c r="J622" s="19" t="s">
        <v>267</v>
      </c>
      <c r="K622" s="156">
        <f>+K623</f>
        <v>0</v>
      </c>
      <c r="L622" s="156">
        <f t="shared" ref="L622:M622" si="388">+L623</f>
        <v>0</v>
      </c>
      <c r="M622" s="156">
        <f t="shared" si="388"/>
        <v>0</v>
      </c>
    </row>
    <row r="623" spans="2:13" ht="15" x14ac:dyDescent="0.25">
      <c r="B623" s="16"/>
      <c r="C623" s="16"/>
      <c r="D623" s="16"/>
      <c r="E623" s="16"/>
      <c r="F623" s="16"/>
      <c r="G623" s="16"/>
      <c r="H623" s="17" t="s">
        <v>682</v>
      </c>
      <c r="I623" s="18"/>
      <c r="J623" s="19" t="s">
        <v>271</v>
      </c>
      <c r="K623" s="156">
        <f>SUM(K624:K629)</f>
        <v>0</v>
      </c>
      <c r="L623" s="156">
        <f t="shared" ref="L623" si="389">SUM(L624:L629)</f>
        <v>0</v>
      </c>
      <c r="M623" s="156">
        <f t="shared" ref="M623" si="390">SUM(M624:M629)</f>
        <v>0</v>
      </c>
    </row>
    <row r="624" spans="2:13" x14ac:dyDescent="0.2">
      <c r="B624" s="16" t="s">
        <v>1002</v>
      </c>
      <c r="C624" s="16" t="s">
        <v>1008</v>
      </c>
      <c r="D624" s="46" t="s">
        <v>1051</v>
      </c>
      <c r="E624" s="16" t="s">
        <v>1016</v>
      </c>
      <c r="F624" s="16" t="s">
        <v>1023</v>
      </c>
      <c r="G624" s="16" t="s">
        <v>1030</v>
      </c>
      <c r="H624" s="21" t="s">
        <v>759</v>
      </c>
      <c r="I624" s="18" t="str">
        <f t="shared" ref="I624:I629" si="391">RIGHT(H624,4)</f>
        <v>04RB</v>
      </c>
      <c r="J624" s="22" t="s">
        <v>271</v>
      </c>
      <c r="K624" s="23"/>
      <c r="L624" s="23"/>
      <c r="M624" s="126">
        <f>+Tabla13[[#This Row],[PF INICIAL]]+Tabla13[[#This Row],[AJUSTE 1]]</f>
        <v>0</v>
      </c>
    </row>
    <row r="625" spans="2:13" x14ac:dyDescent="0.2">
      <c r="B625" s="16" t="s">
        <v>1002</v>
      </c>
      <c r="C625" s="16" t="s">
        <v>1008</v>
      </c>
      <c r="D625" s="46" t="s">
        <v>1051</v>
      </c>
      <c r="E625" s="16" t="s">
        <v>1016</v>
      </c>
      <c r="F625" s="16" t="s">
        <v>1023</v>
      </c>
      <c r="G625" s="16" t="s">
        <v>1030</v>
      </c>
      <c r="H625" s="21" t="s">
        <v>760</v>
      </c>
      <c r="I625" s="18" t="str">
        <f t="shared" si="391"/>
        <v>06RB</v>
      </c>
      <c r="J625" s="22" t="s">
        <v>271</v>
      </c>
      <c r="K625" s="23"/>
      <c r="L625" s="23"/>
      <c r="M625" s="126">
        <f>+Tabla13[[#This Row],[PF INICIAL]]+Tabla13[[#This Row],[AJUSTE 1]]</f>
        <v>0</v>
      </c>
    </row>
    <row r="626" spans="2:13" x14ac:dyDescent="0.2">
      <c r="B626" s="16" t="s">
        <v>1002</v>
      </c>
      <c r="C626" s="16" t="s">
        <v>1008</v>
      </c>
      <c r="D626" s="46" t="s">
        <v>1051</v>
      </c>
      <c r="E626" s="16" t="s">
        <v>1015</v>
      </c>
      <c r="F626" s="16" t="s">
        <v>1023</v>
      </c>
      <c r="G626" s="16" t="s">
        <v>1030</v>
      </c>
      <c r="H626" s="21" t="s">
        <v>761</v>
      </c>
      <c r="I626" s="18" t="str">
        <f t="shared" si="391"/>
        <v>09RB</v>
      </c>
      <c r="J626" s="22" t="s">
        <v>271</v>
      </c>
      <c r="K626" s="23"/>
      <c r="L626" s="23"/>
      <c r="M626" s="126">
        <f>+Tabla13[[#This Row],[PF INICIAL]]+Tabla13[[#This Row],[AJUSTE 1]]</f>
        <v>0</v>
      </c>
    </row>
    <row r="627" spans="2:13" x14ac:dyDescent="0.2">
      <c r="B627" s="16" t="s">
        <v>1002</v>
      </c>
      <c r="C627" s="16" t="s">
        <v>1008</v>
      </c>
      <c r="D627" s="46" t="s">
        <v>1051</v>
      </c>
      <c r="E627" s="16" t="s">
        <v>1015</v>
      </c>
      <c r="F627" s="16" t="s">
        <v>1023</v>
      </c>
      <c r="G627" s="16" t="s">
        <v>1030</v>
      </c>
      <c r="H627" s="21" t="s">
        <v>762</v>
      </c>
      <c r="I627" s="18" t="str">
        <f t="shared" si="391"/>
        <v>100R</v>
      </c>
      <c r="J627" s="22" t="s">
        <v>271</v>
      </c>
      <c r="K627" s="23"/>
      <c r="L627" s="23"/>
      <c r="M627" s="126">
        <f>+Tabla13[[#This Row],[PF INICIAL]]+Tabla13[[#This Row],[AJUSTE 1]]</f>
        <v>0</v>
      </c>
    </row>
    <row r="628" spans="2:13" x14ac:dyDescent="0.2">
      <c r="B628" s="16" t="s">
        <v>1002</v>
      </c>
      <c r="C628" s="16" t="s">
        <v>1008</v>
      </c>
      <c r="D628" s="46" t="s">
        <v>1051</v>
      </c>
      <c r="E628" s="16" t="s">
        <v>1016</v>
      </c>
      <c r="F628" s="16" t="s">
        <v>1023</v>
      </c>
      <c r="G628" s="16" t="s">
        <v>1030</v>
      </c>
      <c r="H628" s="21" t="s">
        <v>763</v>
      </c>
      <c r="I628" s="18" t="str">
        <f t="shared" si="391"/>
        <v>12RB</v>
      </c>
      <c r="J628" s="22" t="s">
        <v>271</v>
      </c>
      <c r="K628" s="23"/>
      <c r="L628" s="23"/>
      <c r="M628" s="126">
        <f>+Tabla13[[#This Row],[PF INICIAL]]+Tabla13[[#This Row],[AJUSTE 1]]</f>
        <v>0</v>
      </c>
    </row>
    <row r="629" spans="2:13" s="13" customFormat="1" ht="15" x14ac:dyDescent="0.25">
      <c r="B629" s="16" t="s">
        <v>1002</v>
      </c>
      <c r="C629" s="16" t="s">
        <v>1008</v>
      </c>
      <c r="D629" s="46" t="s">
        <v>1051</v>
      </c>
      <c r="E629" s="16" t="s">
        <v>1015</v>
      </c>
      <c r="F629" s="16" t="s">
        <v>1023</v>
      </c>
      <c r="G629" s="16" t="s">
        <v>1030</v>
      </c>
      <c r="H629" s="21" t="s">
        <v>764</v>
      </c>
      <c r="I629" s="18" t="str">
        <f t="shared" si="391"/>
        <v>69RB</v>
      </c>
      <c r="J629" s="22" t="s">
        <v>271</v>
      </c>
      <c r="K629" s="23"/>
      <c r="L629" s="23"/>
      <c r="M629" s="126">
        <f>+Tabla13[[#This Row],[PF INICIAL]]+Tabla13[[#This Row],[AJUSTE 1]]</f>
        <v>0</v>
      </c>
    </row>
    <row r="630" spans="2:13" s="13" customFormat="1" ht="15" x14ac:dyDescent="0.25">
      <c r="B630" s="24"/>
      <c r="C630" s="24"/>
      <c r="D630" s="24"/>
      <c r="E630" s="24"/>
      <c r="F630" s="24"/>
      <c r="G630" s="24"/>
      <c r="H630" s="17" t="s">
        <v>683</v>
      </c>
      <c r="I630" s="18"/>
      <c r="J630" s="19" t="s">
        <v>684</v>
      </c>
      <c r="K630" s="156">
        <f>+K631</f>
        <v>37500000000</v>
      </c>
      <c r="L630" s="156">
        <f t="shared" ref="L630:M630" si="392">+L631</f>
        <v>0</v>
      </c>
      <c r="M630" s="156">
        <f t="shared" si="392"/>
        <v>37500000000</v>
      </c>
    </row>
    <row r="631" spans="2:13" ht="15" x14ac:dyDescent="0.25">
      <c r="B631" s="16"/>
      <c r="C631" s="16"/>
      <c r="D631" s="16"/>
      <c r="E631" s="16"/>
      <c r="F631" s="16"/>
      <c r="G631" s="16"/>
      <c r="H631" s="17" t="s">
        <v>688</v>
      </c>
      <c r="I631" s="18"/>
      <c r="J631" s="19" t="s">
        <v>685</v>
      </c>
      <c r="K631" s="156">
        <f>+K632+K633</f>
        <v>37500000000</v>
      </c>
      <c r="L631" s="156">
        <f t="shared" ref="L631" si="393">+L632+L633</f>
        <v>0</v>
      </c>
      <c r="M631" s="156">
        <f t="shared" ref="M631" si="394">+M632+M633</f>
        <v>37500000000</v>
      </c>
    </row>
    <row r="632" spans="2:13" x14ac:dyDescent="0.2">
      <c r="B632" s="16" t="s">
        <v>1002</v>
      </c>
      <c r="C632" s="16" t="s">
        <v>1008</v>
      </c>
      <c r="D632" s="46" t="s">
        <v>1051</v>
      </c>
      <c r="E632" s="16" t="s">
        <v>1015</v>
      </c>
      <c r="F632" s="16" t="s">
        <v>1023</v>
      </c>
      <c r="G632" s="16" t="s">
        <v>1033</v>
      </c>
      <c r="H632" s="21" t="s">
        <v>982</v>
      </c>
      <c r="I632" s="18">
        <v>100</v>
      </c>
      <c r="J632" s="22" t="s">
        <v>685</v>
      </c>
      <c r="K632" s="23">
        <v>4000000000</v>
      </c>
      <c r="L632" s="23"/>
      <c r="M632" s="126">
        <f>+Tabla13[[#This Row],[PF INICIAL]]+Tabla13[[#This Row],[AJUSTE 1]]</f>
        <v>4000000000</v>
      </c>
    </row>
    <row r="633" spans="2:13" s="13" customFormat="1" ht="15" x14ac:dyDescent="0.25">
      <c r="B633" s="16" t="s">
        <v>1002</v>
      </c>
      <c r="C633" s="16" t="s">
        <v>1008</v>
      </c>
      <c r="D633" s="46" t="s">
        <v>1051</v>
      </c>
      <c r="E633" s="16" t="s">
        <v>1015</v>
      </c>
      <c r="F633" s="16" t="s">
        <v>1023</v>
      </c>
      <c r="G633" s="16" t="s">
        <v>1033</v>
      </c>
      <c r="H633" s="21" t="s">
        <v>966</v>
      </c>
      <c r="I633" s="18" t="s">
        <v>967</v>
      </c>
      <c r="J633" s="22" t="s">
        <v>685</v>
      </c>
      <c r="K633" s="23">
        <v>33500000000</v>
      </c>
      <c r="L633" s="23"/>
      <c r="M633" s="126">
        <f>+Tabla13[[#This Row],[PF INICIAL]]+Tabla13[[#This Row],[AJUSTE 1]]</f>
        <v>33500000000</v>
      </c>
    </row>
    <row r="634" spans="2:13" s="13" customFormat="1" ht="15" x14ac:dyDescent="0.25">
      <c r="B634" s="24"/>
      <c r="C634" s="24"/>
      <c r="D634" s="24"/>
      <c r="E634" s="24"/>
      <c r="F634" s="24"/>
      <c r="G634" s="24"/>
      <c r="H634" s="17" t="s">
        <v>686</v>
      </c>
      <c r="I634" s="18"/>
      <c r="J634" s="19" t="s">
        <v>273</v>
      </c>
      <c r="K634" s="156">
        <f>+K635</f>
        <v>0</v>
      </c>
      <c r="L634" s="156">
        <f t="shared" ref="L634:M634" si="395">+L635</f>
        <v>0</v>
      </c>
      <c r="M634" s="156">
        <f t="shared" si="395"/>
        <v>0</v>
      </c>
    </row>
    <row r="635" spans="2:13" ht="15" x14ac:dyDescent="0.25">
      <c r="B635" s="16"/>
      <c r="C635" s="16"/>
      <c r="D635" s="16"/>
      <c r="E635" s="16"/>
      <c r="F635" s="16"/>
      <c r="G635" s="16"/>
      <c r="H635" s="17" t="s">
        <v>687</v>
      </c>
      <c r="I635" s="18"/>
      <c r="J635" s="19" t="s">
        <v>275</v>
      </c>
      <c r="K635" s="156">
        <f>+K636+K637+K638</f>
        <v>0</v>
      </c>
      <c r="L635" s="156">
        <f t="shared" ref="L635" si="396">+L636+L637+L638</f>
        <v>0</v>
      </c>
      <c r="M635" s="156">
        <f t="shared" ref="M635" si="397">+M636+M637+M638</f>
        <v>0</v>
      </c>
    </row>
    <row r="636" spans="2:13" x14ac:dyDescent="0.2">
      <c r="B636" s="16" t="s">
        <v>1002</v>
      </c>
      <c r="C636" s="16" t="s">
        <v>1008</v>
      </c>
      <c r="D636" s="46" t="s">
        <v>1051</v>
      </c>
      <c r="E636" s="16" t="s">
        <v>1016</v>
      </c>
      <c r="F636" s="16" t="s">
        <v>1023</v>
      </c>
      <c r="G636" s="16" t="s">
        <v>1031</v>
      </c>
      <c r="H636" s="21" t="s">
        <v>765</v>
      </c>
      <c r="I636" s="48" t="str">
        <f>RIGHT(H636,4)</f>
        <v>- 06</v>
      </c>
      <c r="J636" s="22" t="s">
        <v>275</v>
      </c>
      <c r="K636" s="23"/>
      <c r="L636" s="23"/>
      <c r="M636" s="126">
        <f>+Tabla13[[#This Row],[PF INICIAL]]+Tabla13[[#This Row],[AJUSTE 1]]</f>
        <v>0</v>
      </c>
    </row>
    <row r="637" spans="2:13" x14ac:dyDescent="0.2">
      <c r="B637" s="16" t="s">
        <v>1002</v>
      </c>
      <c r="C637" s="16" t="s">
        <v>1008</v>
      </c>
      <c r="D637" s="46" t="s">
        <v>1051</v>
      </c>
      <c r="E637" s="16" t="s">
        <v>1016</v>
      </c>
      <c r="F637" s="16" t="s">
        <v>1023</v>
      </c>
      <c r="G637" s="16" t="s">
        <v>1031</v>
      </c>
      <c r="H637" s="21" t="s">
        <v>766</v>
      </c>
      <c r="I637" s="18" t="str">
        <f>RIGHT(H637,4)</f>
        <v xml:space="preserve"> 06D</v>
      </c>
      <c r="J637" s="22" t="s">
        <v>275</v>
      </c>
      <c r="K637" s="23"/>
      <c r="L637" s="23"/>
      <c r="M637" s="126">
        <f>+Tabla13[[#This Row],[PF INICIAL]]+Tabla13[[#This Row],[AJUSTE 1]]</f>
        <v>0</v>
      </c>
    </row>
    <row r="638" spans="2:13" ht="13.5" customHeight="1" x14ac:dyDescent="0.2">
      <c r="B638" s="16" t="s">
        <v>1002</v>
      </c>
      <c r="C638" s="16" t="s">
        <v>1008</v>
      </c>
      <c r="D638" s="46" t="s">
        <v>1051</v>
      </c>
      <c r="E638" s="16" t="s">
        <v>1015</v>
      </c>
      <c r="F638" s="16" t="s">
        <v>1023</v>
      </c>
      <c r="G638" s="16" t="s">
        <v>1031</v>
      </c>
      <c r="H638" s="21" t="s">
        <v>767</v>
      </c>
      <c r="I638" s="18" t="str">
        <f>RIGHT(H638,4)</f>
        <v xml:space="preserve"> 100</v>
      </c>
      <c r="J638" s="22" t="s">
        <v>275</v>
      </c>
      <c r="K638" s="23"/>
      <c r="L638" s="23"/>
      <c r="M638" s="126">
        <f>+Tabla13[[#This Row],[PF INICIAL]]+Tabla13[[#This Row],[AJUSTE 1]]</f>
        <v>0</v>
      </c>
    </row>
    <row r="639" spans="2:13" ht="15" x14ac:dyDescent="0.25">
      <c r="B639" s="16"/>
      <c r="C639" s="16"/>
      <c r="D639" s="16"/>
      <c r="E639" s="16"/>
      <c r="F639" s="16"/>
      <c r="G639" s="16"/>
      <c r="H639" s="49" t="s">
        <v>804</v>
      </c>
      <c r="I639" s="187"/>
      <c r="J639" s="49"/>
      <c r="K639" s="153">
        <f>+K586</f>
        <v>75255807463</v>
      </c>
      <c r="L639" s="153">
        <f>+L586</f>
        <v>0</v>
      </c>
      <c r="M639" s="153">
        <f>+M586</f>
        <v>75255807463</v>
      </c>
    </row>
    <row r="640" spans="2:13" x14ac:dyDescent="0.2">
      <c r="B640" s="16"/>
      <c r="C640" s="16"/>
      <c r="D640" s="16"/>
      <c r="E640" s="16"/>
      <c r="F640" s="16"/>
      <c r="G640" s="16"/>
      <c r="H640" s="45"/>
      <c r="I640" s="46"/>
      <c r="J640" s="22"/>
      <c r="K640" s="157"/>
    </row>
    <row r="641" spans="2:13" s="52" customFormat="1" ht="15" x14ac:dyDescent="0.25">
      <c r="B641" s="45"/>
      <c r="C641" s="45"/>
      <c r="D641" s="45"/>
      <c r="E641" s="45"/>
      <c r="F641" s="45"/>
      <c r="G641" s="45"/>
      <c r="H641" s="50" t="s">
        <v>805</v>
      </c>
      <c r="I641" s="188"/>
      <c r="J641" s="50"/>
      <c r="K641" s="159">
        <f>+K645+K702+K733+K760+K803</f>
        <v>70821787091</v>
      </c>
      <c r="L641" s="159">
        <f>+L645+L702+L733+L760+L803</f>
        <v>0</v>
      </c>
      <c r="M641" s="159">
        <f>+M645+M702+M733+M760+M803</f>
        <v>70821787091</v>
      </c>
    </row>
    <row r="642" spans="2:13" ht="15" x14ac:dyDescent="0.25">
      <c r="B642" s="16"/>
      <c r="C642" s="16"/>
      <c r="D642" s="16"/>
      <c r="E642" s="16"/>
      <c r="F642" s="16"/>
      <c r="G642" s="16"/>
      <c r="H642" s="53" t="s">
        <v>806</v>
      </c>
      <c r="I642" s="189"/>
      <c r="J642" s="53"/>
      <c r="K642" s="160"/>
      <c r="L642" s="160"/>
      <c r="M642" s="160"/>
    </row>
    <row r="643" spans="2:13" ht="15" x14ac:dyDescent="0.25">
      <c r="B643" s="16"/>
      <c r="C643" s="16"/>
      <c r="D643" s="16"/>
      <c r="E643" s="16"/>
      <c r="F643" s="16"/>
      <c r="G643" s="16"/>
      <c r="H643" s="53" t="s">
        <v>807</v>
      </c>
      <c r="I643" s="189"/>
      <c r="J643" s="53"/>
      <c r="K643" s="160"/>
      <c r="L643" s="160"/>
      <c r="M643" s="160"/>
    </row>
    <row r="644" spans="2:13" ht="15" x14ac:dyDescent="0.2">
      <c r="B644" s="16"/>
      <c r="C644" s="16"/>
      <c r="D644" s="16"/>
      <c r="E644" s="16"/>
      <c r="F644" s="16"/>
      <c r="G644" s="16"/>
      <c r="H644" s="55" t="s">
        <v>778</v>
      </c>
      <c r="I644" s="56"/>
      <c r="J644" s="32" t="s">
        <v>779</v>
      </c>
      <c r="K644" s="161"/>
      <c r="L644" s="161"/>
      <c r="M644" s="161"/>
    </row>
    <row r="645" spans="2:13" ht="15" x14ac:dyDescent="0.2">
      <c r="B645" s="16"/>
      <c r="C645" s="16"/>
      <c r="D645" s="16"/>
      <c r="E645" s="16"/>
      <c r="F645" s="16"/>
      <c r="G645" s="16"/>
      <c r="H645" s="58">
        <v>1</v>
      </c>
      <c r="I645" s="63"/>
      <c r="J645" s="60" t="s">
        <v>768</v>
      </c>
      <c r="K645" s="162">
        <f>+K646+K661</f>
        <v>707000000</v>
      </c>
      <c r="L645" s="162">
        <f>+L646+L661</f>
        <v>0</v>
      </c>
      <c r="M645" s="162">
        <f>+M646+M661</f>
        <v>707000000</v>
      </c>
    </row>
    <row r="646" spans="2:13" ht="15" x14ac:dyDescent="0.2">
      <c r="B646" s="16"/>
      <c r="C646" s="16"/>
      <c r="D646" s="16"/>
      <c r="E646" s="16"/>
      <c r="F646" s="16"/>
      <c r="G646" s="16"/>
      <c r="H646" s="58" t="s">
        <v>809</v>
      </c>
      <c r="I646" s="63"/>
      <c r="J646" s="60" t="s">
        <v>769</v>
      </c>
      <c r="K646" s="162">
        <f t="shared" ref="K646:M648" si="398">+K647</f>
        <v>700000000</v>
      </c>
      <c r="L646" s="162">
        <f t="shared" si="398"/>
        <v>0</v>
      </c>
      <c r="M646" s="162">
        <f t="shared" si="398"/>
        <v>700000000</v>
      </c>
    </row>
    <row r="647" spans="2:13" ht="15" x14ac:dyDescent="0.2">
      <c r="B647" s="16"/>
      <c r="C647" s="16"/>
      <c r="D647" s="16"/>
      <c r="E647" s="16"/>
      <c r="F647" s="16"/>
      <c r="G647" s="16"/>
      <c r="H647" s="58" t="s">
        <v>810</v>
      </c>
      <c r="I647" s="63"/>
      <c r="J647" s="60" t="s">
        <v>770</v>
      </c>
      <c r="K647" s="162">
        <f t="shared" si="398"/>
        <v>700000000</v>
      </c>
      <c r="L647" s="162">
        <f t="shared" si="398"/>
        <v>0</v>
      </c>
      <c r="M647" s="162">
        <f t="shared" si="398"/>
        <v>700000000</v>
      </c>
    </row>
    <row r="648" spans="2:13" ht="15" x14ac:dyDescent="0.2">
      <c r="B648" s="16"/>
      <c r="C648" s="16"/>
      <c r="D648" s="16"/>
      <c r="E648" s="16"/>
      <c r="F648" s="16"/>
      <c r="G648" s="16"/>
      <c r="H648" s="58" t="s">
        <v>811</v>
      </c>
      <c r="I648" s="63"/>
      <c r="J648" s="60" t="s">
        <v>812</v>
      </c>
      <c r="K648" s="162">
        <f t="shared" si="398"/>
        <v>700000000</v>
      </c>
      <c r="L648" s="162">
        <f t="shared" si="398"/>
        <v>0</v>
      </c>
      <c r="M648" s="162">
        <f t="shared" si="398"/>
        <v>700000000</v>
      </c>
    </row>
    <row r="649" spans="2:13" x14ac:dyDescent="0.2">
      <c r="B649" s="16"/>
      <c r="C649" s="16"/>
      <c r="D649" s="16"/>
      <c r="E649" s="16"/>
      <c r="F649" s="16"/>
      <c r="G649" s="16"/>
      <c r="H649" s="62" t="s">
        <v>813</v>
      </c>
      <c r="I649" s="63"/>
      <c r="J649" s="64" t="s">
        <v>814</v>
      </c>
      <c r="K649" s="182">
        <f>+K650</f>
        <v>700000000</v>
      </c>
      <c r="L649" s="182">
        <f>+L650</f>
        <v>0</v>
      </c>
      <c r="M649" s="182">
        <f>+M650</f>
        <v>700000000</v>
      </c>
    </row>
    <row r="650" spans="2:13" x14ac:dyDescent="0.2">
      <c r="B650" s="16" t="s">
        <v>1003</v>
      </c>
      <c r="C650" s="16" t="s">
        <v>1009</v>
      </c>
      <c r="D650" s="46" t="s">
        <v>1051</v>
      </c>
      <c r="E650" s="16" t="s">
        <v>1014</v>
      </c>
      <c r="F650" s="16" t="s">
        <v>1022</v>
      </c>
      <c r="G650" s="16" t="s">
        <v>1025</v>
      </c>
      <c r="H650" s="62" t="s">
        <v>815</v>
      </c>
      <c r="I650" s="63">
        <v>200</v>
      </c>
      <c r="J650" s="64" t="s">
        <v>816</v>
      </c>
      <c r="K650" s="23">
        <v>700000000</v>
      </c>
      <c r="L650" s="23">
        <v>0</v>
      </c>
      <c r="M650" s="126">
        <f>+Tabla13[[#This Row],[PF INICIAL]]+Tabla13[[#This Row],[AJUSTE 1]]</f>
        <v>700000000</v>
      </c>
    </row>
    <row r="651" spans="2:13" ht="15" x14ac:dyDescent="0.2">
      <c r="B651" s="16"/>
      <c r="C651" s="16"/>
      <c r="D651" s="16"/>
      <c r="E651" s="16"/>
      <c r="F651" s="16"/>
      <c r="G651" s="16"/>
      <c r="H651" s="58" t="s">
        <v>817</v>
      </c>
      <c r="I651" s="63"/>
      <c r="J651" s="60" t="s">
        <v>818</v>
      </c>
      <c r="K651" s="162">
        <f t="shared" ref="K651:M653" si="399">+K652</f>
        <v>0</v>
      </c>
      <c r="L651" s="162">
        <f t="shared" si="399"/>
        <v>0</v>
      </c>
      <c r="M651" s="162">
        <f t="shared" si="399"/>
        <v>0</v>
      </c>
    </row>
    <row r="652" spans="2:13" ht="15" x14ac:dyDescent="0.2">
      <c r="B652" s="16"/>
      <c r="C652" s="16"/>
      <c r="D652" s="16"/>
      <c r="E652" s="16"/>
      <c r="F652" s="16"/>
      <c r="G652" s="16"/>
      <c r="H652" s="58" t="s">
        <v>819</v>
      </c>
      <c r="I652" s="63"/>
      <c r="J652" s="60" t="s">
        <v>820</v>
      </c>
      <c r="K652" s="162">
        <f t="shared" si="399"/>
        <v>0</v>
      </c>
      <c r="L652" s="162">
        <f t="shared" si="399"/>
        <v>0</v>
      </c>
      <c r="M652" s="162">
        <f t="shared" si="399"/>
        <v>0</v>
      </c>
    </row>
    <row r="653" spans="2:13" ht="15" x14ac:dyDescent="0.2">
      <c r="B653" s="16"/>
      <c r="C653" s="16"/>
      <c r="D653" s="16"/>
      <c r="E653" s="16"/>
      <c r="F653" s="16"/>
      <c r="G653" s="16"/>
      <c r="H653" s="58" t="s">
        <v>821</v>
      </c>
      <c r="I653" s="63"/>
      <c r="J653" s="60" t="s">
        <v>822</v>
      </c>
      <c r="K653" s="162">
        <f t="shared" si="399"/>
        <v>0</v>
      </c>
      <c r="L653" s="162">
        <f t="shared" si="399"/>
        <v>0</v>
      </c>
      <c r="M653" s="162">
        <f t="shared" si="399"/>
        <v>0</v>
      </c>
    </row>
    <row r="654" spans="2:13" ht="15" x14ac:dyDescent="0.2">
      <c r="B654" s="16"/>
      <c r="C654" s="16"/>
      <c r="D654" s="16"/>
      <c r="E654" s="16"/>
      <c r="F654" s="16"/>
      <c r="G654" s="16"/>
      <c r="H654" s="58" t="s">
        <v>823</v>
      </c>
      <c r="I654" s="63"/>
      <c r="J654" s="60" t="s">
        <v>824</v>
      </c>
      <c r="K654" s="162">
        <f>SUM(K655:K660)</f>
        <v>0</v>
      </c>
      <c r="L654" s="162">
        <f>SUM(L655:L660)</f>
        <v>0</v>
      </c>
      <c r="M654" s="162">
        <f>SUM(M655:M660)</f>
        <v>0</v>
      </c>
    </row>
    <row r="655" spans="2:13" x14ac:dyDescent="0.2">
      <c r="B655" s="16" t="s">
        <v>1003</v>
      </c>
      <c r="C655" s="16" t="s">
        <v>1009</v>
      </c>
      <c r="D655" s="46" t="s">
        <v>1051</v>
      </c>
      <c r="E655" s="16" t="s">
        <v>1016</v>
      </c>
      <c r="F655" s="16" t="s">
        <v>1022</v>
      </c>
      <c r="G655" s="16" t="s">
        <v>1025</v>
      </c>
      <c r="H655" s="62" t="s">
        <v>825</v>
      </c>
      <c r="I655" s="63">
        <v>4</v>
      </c>
      <c r="J655" s="64" t="s">
        <v>839</v>
      </c>
      <c r="K655" s="23">
        <v>0</v>
      </c>
      <c r="L655" s="23">
        <v>0</v>
      </c>
      <c r="M655" s="126">
        <f>+Tabla13[[#This Row],[PF INICIAL]]+Tabla13[[#This Row],[AJUSTE 1]]</f>
        <v>0</v>
      </c>
    </row>
    <row r="656" spans="2:13" ht="28.5" customHeight="1" x14ac:dyDescent="0.2">
      <c r="B656" s="16" t="s">
        <v>1003</v>
      </c>
      <c r="C656" s="16" t="s">
        <v>1009</v>
      </c>
      <c r="D656" s="46" t="s">
        <v>1051</v>
      </c>
      <c r="E656" s="16" t="s">
        <v>1015</v>
      </c>
      <c r="F656" s="16" t="s">
        <v>1022</v>
      </c>
      <c r="G656" s="16" t="s">
        <v>1025</v>
      </c>
      <c r="H656" s="62" t="s">
        <v>825</v>
      </c>
      <c r="I656" s="63">
        <v>58</v>
      </c>
      <c r="J656" s="64" t="s">
        <v>826</v>
      </c>
      <c r="K656" s="23">
        <v>0</v>
      </c>
      <c r="L656" s="23">
        <v>0</v>
      </c>
      <c r="M656" s="126">
        <f>+Tabla13[[#This Row],[PF INICIAL]]+Tabla13[[#This Row],[AJUSTE 1]]</f>
        <v>0</v>
      </c>
    </row>
    <row r="657" spans="2:13" x14ac:dyDescent="0.2">
      <c r="B657" s="16" t="s">
        <v>1003</v>
      </c>
      <c r="C657" s="16" t="s">
        <v>1009</v>
      </c>
      <c r="D657" s="46" t="s">
        <v>1051</v>
      </c>
      <c r="E657" s="16" t="s">
        <v>1015</v>
      </c>
      <c r="F657" s="16" t="s">
        <v>1022</v>
      </c>
      <c r="G657" s="16" t="s">
        <v>1025</v>
      </c>
      <c r="H657" s="62" t="s">
        <v>825</v>
      </c>
      <c r="I657" s="63">
        <v>60</v>
      </c>
      <c r="J657" s="64" t="s">
        <v>827</v>
      </c>
      <c r="K657" s="23">
        <v>0</v>
      </c>
      <c r="L657" s="23">
        <v>0</v>
      </c>
      <c r="M657" s="126">
        <f>+Tabla13[[#This Row],[PF INICIAL]]+Tabla13[[#This Row],[AJUSTE 1]]</f>
        <v>0</v>
      </c>
    </row>
    <row r="658" spans="2:13" x14ac:dyDescent="0.2">
      <c r="B658" s="16" t="s">
        <v>1003</v>
      </c>
      <c r="C658" s="16" t="s">
        <v>1009</v>
      </c>
      <c r="D658" s="46" t="s">
        <v>1051</v>
      </c>
      <c r="E658" s="16" t="s">
        <v>1015</v>
      </c>
      <c r="F658" s="16" t="s">
        <v>1022</v>
      </c>
      <c r="G658" s="16" t="s">
        <v>1025</v>
      </c>
      <c r="H658" s="62" t="s">
        <v>825</v>
      </c>
      <c r="I658" s="63">
        <v>61</v>
      </c>
      <c r="J658" s="64" t="s">
        <v>828</v>
      </c>
      <c r="K658" s="23">
        <v>0</v>
      </c>
      <c r="L658" s="23">
        <v>0</v>
      </c>
      <c r="M658" s="126">
        <f>+Tabla13[[#This Row],[PF INICIAL]]+Tabla13[[#This Row],[AJUSTE 1]]</f>
        <v>0</v>
      </c>
    </row>
    <row r="659" spans="2:13" x14ac:dyDescent="0.2">
      <c r="B659" s="16" t="s">
        <v>1003</v>
      </c>
      <c r="C659" s="16" t="s">
        <v>1009</v>
      </c>
      <c r="D659" s="46" t="s">
        <v>1051</v>
      </c>
      <c r="E659" s="16" t="s">
        <v>1014</v>
      </c>
      <c r="F659" s="16" t="s">
        <v>1022</v>
      </c>
      <c r="G659" s="16" t="s">
        <v>1025</v>
      </c>
      <c r="H659" s="62" t="s">
        <v>825</v>
      </c>
      <c r="I659" s="63">
        <v>20</v>
      </c>
      <c r="J659" s="64" t="s">
        <v>829</v>
      </c>
      <c r="K659" s="23">
        <v>0</v>
      </c>
      <c r="L659" s="23">
        <v>0</v>
      </c>
      <c r="M659" s="126">
        <f>+Tabla13[[#This Row],[PF INICIAL]]+Tabla13[[#This Row],[AJUSTE 1]]</f>
        <v>0</v>
      </c>
    </row>
    <row r="660" spans="2:13" x14ac:dyDescent="0.2">
      <c r="B660" s="16" t="s">
        <v>1003</v>
      </c>
      <c r="C660" s="16" t="s">
        <v>1009</v>
      </c>
      <c r="D660" s="46" t="s">
        <v>1051</v>
      </c>
      <c r="E660" s="16" t="s">
        <v>1014</v>
      </c>
      <c r="F660" s="16" t="s">
        <v>1022</v>
      </c>
      <c r="G660" s="16" t="s">
        <v>1025</v>
      </c>
      <c r="H660" s="62" t="s">
        <v>825</v>
      </c>
      <c r="I660" s="63">
        <v>20</v>
      </c>
      <c r="J660" s="64" t="s">
        <v>830</v>
      </c>
      <c r="K660" s="65">
        <v>0</v>
      </c>
      <c r="L660" s="65">
        <v>0</v>
      </c>
      <c r="M660" s="126">
        <f>+Tabla13[[#This Row],[PF INICIAL]]+Tabla13[[#This Row],[AJUSTE 1]]</f>
        <v>0</v>
      </c>
    </row>
    <row r="661" spans="2:13" ht="15" x14ac:dyDescent="0.2">
      <c r="B661" s="16"/>
      <c r="C661" s="16"/>
      <c r="D661" s="16"/>
      <c r="E661" s="16"/>
      <c r="F661" s="16"/>
      <c r="G661" s="16"/>
      <c r="H661" s="58" t="s">
        <v>831</v>
      </c>
      <c r="I661" s="63"/>
      <c r="J661" s="60" t="s">
        <v>771</v>
      </c>
      <c r="K661" s="162">
        <f>+K662+K664+K667</f>
        <v>7000000</v>
      </c>
      <c r="L661" s="162">
        <f>+L662+L664+L667</f>
        <v>0</v>
      </c>
      <c r="M661" s="162">
        <f>+M662+M664+M667</f>
        <v>7000000</v>
      </c>
    </row>
    <row r="662" spans="2:13" s="13" customFormat="1" ht="15" x14ac:dyDescent="0.25">
      <c r="B662" s="24"/>
      <c r="C662" s="24"/>
      <c r="D662" s="24"/>
      <c r="E662" s="24"/>
      <c r="F662" s="24"/>
      <c r="G662" s="24"/>
      <c r="H662" s="58" t="s">
        <v>832</v>
      </c>
      <c r="I662" s="63"/>
      <c r="J662" s="60" t="s">
        <v>772</v>
      </c>
      <c r="K662" s="156">
        <f>+K663</f>
        <v>7000000</v>
      </c>
      <c r="L662" s="156">
        <f>+L663</f>
        <v>0</v>
      </c>
      <c r="M662" s="156">
        <f>+M663</f>
        <v>7000000</v>
      </c>
    </row>
    <row r="663" spans="2:13" x14ac:dyDescent="0.2">
      <c r="B663" s="16" t="s">
        <v>1003</v>
      </c>
      <c r="C663" s="16" t="s">
        <v>1009</v>
      </c>
      <c r="D663" s="46" t="s">
        <v>1051</v>
      </c>
      <c r="E663" s="16" t="s">
        <v>1014</v>
      </c>
      <c r="F663" s="16" t="s">
        <v>1023</v>
      </c>
      <c r="G663" s="16" t="s">
        <v>1028</v>
      </c>
      <c r="H663" s="62" t="s">
        <v>833</v>
      </c>
      <c r="I663" s="63">
        <v>200</v>
      </c>
      <c r="J663" s="64" t="s">
        <v>242</v>
      </c>
      <c r="K663" s="65">
        <v>7000000</v>
      </c>
      <c r="L663" s="65">
        <v>0</v>
      </c>
      <c r="M663" s="126">
        <f>+Tabla13[[#This Row],[PF INICIAL]]+Tabla13[[#This Row],[AJUSTE 1]]</f>
        <v>7000000</v>
      </c>
    </row>
    <row r="664" spans="2:13" s="13" customFormat="1" ht="15" x14ac:dyDescent="0.25">
      <c r="B664" s="24"/>
      <c r="C664" s="24"/>
      <c r="D664" s="24"/>
      <c r="E664" s="24"/>
      <c r="F664" s="24"/>
      <c r="G664" s="24"/>
      <c r="H664" s="58" t="s">
        <v>834</v>
      </c>
      <c r="I664" s="63"/>
      <c r="J664" s="60" t="s">
        <v>835</v>
      </c>
      <c r="K664" s="183">
        <f t="shared" ref="K664:M665" si="400">+K665</f>
        <v>0</v>
      </c>
      <c r="L664" s="183">
        <f t="shared" si="400"/>
        <v>0</v>
      </c>
      <c r="M664" s="183">
        <f t="shared" si="400"/>
        <v>0</v>
      </c>
    </row>
    <row r="665" spans="2:13" x14ac:dyDescent="0.2">
      <c r="B665" s="16"/>
      <c r="C665" s="16"/>
      <c r="D665" s="16"/>
      <c r="E665" s="16"/>
      <c r="F665" s="16"/>
      <c r="G665" s="16"/>
      <c r="H665" s="62" t="s">
        <v>836</v>
      </c>
      <c r="I665" s="63"/>
      <c r="J665" s="64" t="s">
        <v>837</v>
      </c>
      <c r="K665" s="163">
        <f t="shared" si="400"/>
        <v>0</v>
      </c>
      <c r="L665" s="163">
        <f t="shared" si="400"/>
        <v>0</v>
      </c>
      <c r="M665" s="163">
        <f t="shared" si="400"/>
        <v>0</v>
      </c>
    </row>
    <row r="666" spans="2:13" x14ac:dyDescent="0.2">
      <c r="B666" s="16" t="s">
        <v>1003</v>
      </c>
      <c r="C666" s="16" t="s">
        <v>1009</v>
      </c>
      <c r="D666" s="46" t="s">
        <v>1051</v>
      </c>
      <c r="E666" s="16" t="s">
        <v>1014</v>
      </c>
      <c r="F666" s="16" t="s">
        <v>1023</v>
      </c>
      <c r="G666" s="16" t="s">
        <v>1035</v>
      </c>
      <c r="H666" s="62" t="s">
        <v>838</v>
      </c>
      <c r="I666" s="63">
        <v>4</v>
      </c>
      <c r="J666" s="64" t="s">
        <v>839</v>
      </c>
      <c r="K666" s="66">
        <v>0</v>
      </c>
      <c r="L666" s="66">
        <v>0</v>
      </c>
      <c r="M666" s="126">
        <f>+Tabla13[[#This Row],[PF INICIAL]]+Tabla13[[#This Row],[AJUSTE 1]]</f>
        <v>0</v>
      </c>
    </row>
    <row r="667" spans="2:13" s="13" customFormat="1" ht="15" x14ac:dyDescent="0.25">
      <c r="B667" s="24"/>
      <c r="C667" s="24"/>
      <c r="D667" s="24"/>
      <c r="E667" s="24"/>
      <c r="F667" s="24"/>
      <c r="G667" s="24"/>
      <c r="H667" s="58" t="s">
        <v>840</v>
      </c>
      <c r="I667" s="63"/>
      <c r="J667" s="60" t="s">
        <v>841</v>
      </c>
      <c r="K667" s="183">
        <f>+K668+K669</f>
        <v>0</v>
      </c>
      <c r="L667" s="183">
        <f>+L668+L669</f>
        <v>0</v>
      </c>
      <c r="M667" s="183">
        <f>+M668+M669</f>
        <v>0</v>
      </c>
    </row>
    <row r="668" spans="2:13" x14ac:dyDescent="0.2">
      <c r="B668" s="16"/>
      <c r="C668" s="16"/>
      <c r="D668" s="16"/>
      <c r="E668" s="16"/>
      <c r="F668" s="16"/>
      <c r="G668" s="16"/>
      <c r="H668" s="62" t="s">
        <v>842</v>
      </c>
      <c r="I668" s="63"/>
      <c r="J668" s="64" t="s">
        <v>843</v>
      </c>
      <c r="K668" s="163">
        <v>0</v>
      </c>
      <c r="L668" s="163">
        <v>0</v>
      </c>
      <c r="M668" s="163">
        <v>0</v>
      </c>
    </row>
    <row r="669" spans="2:13" x14ac:dyDescent="0.2">
      <c r="B669" s="16" t="s">
        <v>1003</v>
      </c>
      <c r="C669" s="16" t="s">
        <v>1009</v>
      </c>
      <c r="D669" s="46" t="s">
        <v>1051</v>
      </c>
      <c r="E669" s="16" t="s">
        <v>1014</v>
      </c>
      <c r="F669" s="16" t="s">
        <v>1023</v>
      </c>
      <c r="G669" s="16" t="s">
        <v>1030</v>
      </c>
      <c r="H669" s="45" t="s">
        <v>844</v>
      </c>
      <c r="I669" s="67"/>
      <c r="J669" s="68" t="s">
        <v>845</v>
      </c>
      <c r="K669" s="157">
        <v>0</v>
      </c>
      <c r="L669" s="157">
        <v>0</v>
      </c>
      <c r="M669" s="157">
        <v>0</v>
      </c>
    </row>
    <row r="670" spans="2:13" ht="15" x14ac:dyDescent="0.25">
      <c r="B670" s="16"/>
      <c r="C670" s="16"/>
      <c r="D670" s="16"/>
      <c r="E670" s="16"/>
      <c r="F670" s="16"/>
      <c r="G670" s="16"/>
      <c r="H670" s="70" t="s">
        <v>848</v>
      </c>
      <c r="I670" s="190"/>
      <c r="J670" s="70"/>
      <c r="K670" s="164">
        <f>+K645</f>
        <v>707000000</v>
      </c>
      <c r="L670" s="164">
        <f>+L645</f>
        <v>0</v>
      </c>
      <c r="M670" s="164">
        <f>+M645</f>
        <v>707000000</v>
      </c>
    </row>
    <row r="671" spans="2:13" ht="15" x14ac:dyDescent="0.25">
      <c r="B671" s="16"/>
      <c r="C671" s="16"/>
      <c r="D671" s="16"/>
      <c r="E671" s="16"/>
      <c r="F671" s="16"/>
      <c r="G671" s="16"/>
      <c r="H671" s="72"/>
      <c r="I671" s="73"/>
      <c r="J671" s="70"/>
      <c r="K671" s="165"/>
    </row>
    <row r="672" spans="2:13" ht="15" x14ac:dyDescent="0.25">
      <c r="B672" s="16"/>
      <c r="C672" s="16"/>
      <c r="D672" s="16"/>
      <c r="E672" s="16"/>
      <c r="F672" s="16"/>
      <c r="G672" s="16"/>
      <c r="H672" s="75" t="s">
        <v>849</v>
      </c>
      <c r="I672" s="191"/>
      <c r="J672" s="75"/>
      <c r="K672" s="166"/>
    </row>
    <row r="673" spans="2:13" ht="15" x14ac:dyDescent="0.25">
      <c r="B673" s="16"/>
      <c r="C673" s="16"/>
      <c r="D673" s="16"/>
      <c r="E673" s="16"/>
      <c r="F673" s="16"/>
      <c r="G673" s="16"/>
      <c r="H673" s="75" t="s">
        <v>850</v>
      </c>
      <c r="I673" s="191"/>
      <c r="J673" s="75"/>
      <c r="K673" s="166"/>
    </row>
    <row r="674" spans="2:13" ht="15" x14ac:dyDescent="0.2">
      <c r="B674" s="16"/>
      <c r="C674" s="16"/>
      <c r="D674" s="16"/>
      <c r="E674" s="16"/>
      <c r="F674" s="16"/>
      <c r="G674" s="16"/>
      <c r="H674" s="55" t="s">
        <v>778</v>
      </c>
      <c r="I674" s="56"/>
      <c r="J674" s="32" t="s">
        <v>779</v>
      </c>
      <c r="K674" s="161"/>
      <c r="L674" s="161"/>
      <c r="M674" s="161"/>
    </row>
    <row r="675" spans="2:13" ht="15" x14ac:dyDescent="0.25">
      <c r="B675" s="16"/>
      <c r="C675" s="16"/>
      <c r="D675" s="16"/>
      <c r="E675" s="16"/>
      <c r="F675" s="16"/>
      <c r="G675" s="16"/>
      <c r="H675" s="44">
        <v>1</v>
      </c>
      <c r="I675" s="80"/>
      <c r="J675" s="78" t="s">
        <v>768</v>
      </c>
      <c r="K675" s="167">
        <f>+K676+K683</f>
        <v>0</v>
      </c>
      <c r="L675" s="167">
        <f t="shared" ref="L675:M675" si="401">+L676+L683</f>
        <v>0</v>
      </c>
      <c r="M675" s="167">
        <f t="shared" si="401"/>
        <v>0</v>
      </c>
    </row>
    <row r="676" spans="2:13" ht="15" x14ac:dyDescent="0.25">
      <c r="B676" s="16"/>
      <c r="C676" s="16"/>
      <c r="D676" s="16"/>
      <c r="E676" s="16"/>
      <c r="F676" s="16"/>
      <c r="G676" s="16"/>
      <c r="H676" s="44">
        <v>1.1000000000000001</v>
      </c>
      <c r="I676" s="80"/>
      <c r="J676" s="78" t="s">
        <v>769</v>
      </c>
      <c r="K676" s="167">
        <f>+K677</f>
        <v>0</v>
      </c>
      <c r="L676" s="167">
        <f t="shared" ref="L676:M679" si="402">+L677</f>
        <v>0</v>
      </c>
      <c r="M676" s="167">
        <f t="shared" si="402"/>
        <v>0</v>
      </c>
    </row>
    <row r="677" spans="2:13" ht="15" x14ac:dyDescent="0.25">
      <c r="B677" s="16"/>
      <c r="C677" s="16"/>
      <c r="D677" s="16"/>
      <c r="E677" s="16"/>
      <c r="F677" s="16"/>
      <c r="G677" s="16"/>
      <c r="H677" s="17" t="s">
        <v>810</v>
      </c>
      <c r="I677" s="80"/>
      <c r="J677" s="78" t="s">
        <v>770</v>
      </c>
      <c r="K677" s="167">
        <f>+K678</f>
        <v>0</v>
      </c>
      <c r="L677" s="167">
        <f t="shared" si="402"/>
        <v>0</v>
      </c>
      <c r="M677" s="167">
        <f t="shared" si="402"/>
        <v>0</v>
      </c>
    </row>
    <row r="678" spans="2:13" ht="15" x14ac:dyDescent="0.25">
      <c r="B678" s="16"/>
      <c r="C678" s="16"/>
      <c r="D678" s="16"/>
      <c r="E678" s="16"/>
      <c r="F678" s="16"/>
      <c r="G678" s="16"/>
      <c r="H678" s="17" t="s">
        <v>817</v>
      </c>
      <c r="I678" s="80"/>
      <c r="J678" s="78" t="s">
        <v>818</v>
      </c>
      <c r="K678" s="167">
        <f>+K679</f>
        <v>0</v>
      </c>
      <c r="L678" s="167">
        <f t="shared" si="402"/>
        <v>0</v>
      </c>
      <c r="M678" s="167">
        <f t="shared" si="402"/>
        <v>0</v>
      </c>
    </row>
    <row r="679" spans="2:13" ht="15" x14ac:dyDescent="0.25">
      <c r="B679" s="16"/>
      <c r="C679" s="16"/>
      <c r="D679" s="16"/>
      <c r="E679" s="16"/>
      <c r="F679" s="16"/>
      <c r="G679" s="16"/>
      <c r="H679" s="17" t="s">
        <v>819</v>
      </c>
      <c r="I679" s="80"/>
      <c r="J679" s="78" t="s">
        <v>820</v>
      </c>
      <c r="K679" s="167">
        <f>+K680</f>
        <v>0</v>
      </c>
      <c r="L679" s="167">
        <f t="shared" si="402"/>
        <v>0</v>
      </c>
      <c r="M679" s="167">
        <f t="shared" si="402"/>
        <v>0</v>
      </c>
    </row>
    <row r="680" spans="2:13" ht="15" x14ac:dyDescent="0.25">
      <c r="B680" s="16"/>
      <c r="C680" s="16"/>
      <c r="D680" s="16"/>
      <c r="E680" s="16"/>
      <c r="F680" s="16"/>
      <c r="G680" s="16"/>
      <c r="H680" s="17" t="s">
        <v>823</v>
      </c>
      <c r="I680" s="80"/>
      <c r="J680" s="78" t="s">
        <v>851</v>
      </c>
      <c r="K680" s="167">
        <f>+K681+K682</f>
        <v>0</v>
      </c>
      <c r="L680" s="167">
        <f t="shared" ref="L680:M680" si="403">+L681+L682</f>
        <v>0</v>
      </c>
      <c r="M680" s="167">
        <f t="shared" si="403"/>
        <v>0</v>
      </c>
    </row>
    <row r="681" spans="2:13" x14ac:dyDescent="0.2">
      <c r="B681" s="16" t="s">
        <v>1003</v>
      </c>
      <c r="C681" s="16" t="s">
        <v>1010</v>
      </c>
      <c r="D681" s="46" t="s">
        <v>1051</v>
      </c>
      <c r="E681" s="16" t="s">
        <v>1016</v>
      </c>
      <c r="F681" s="16" t="s">
        <v>1022</v>
      </c>
      <c r="G681" s="16" t="s">
        <v>1025</v>
      </c>
      <c r="H681" s="21" t="s">
        <v>852</v>
      </c>
      <c r="I681" s="80">
        <v>12</v>
      </c>
      <c r="J681" s="81" t="s">
        <v>690</v>
      </c>
      <c r="K681" s="23"/>
      <c r="L681" s="23"/>
      <c r="M681" s="126">
        <f>+Tabla13[[#This Row],[PF INICIAL]]+Tabla13[[#This Row],[AJUSTE 1]]</f>
        <v>0</v>
      </c>
    </row>
    <row r="682" spans="2:13" ht="15.75" customHeight="1" x14ac:dyDescent="0.2">
      <c r="B682" s="16" t="s">
        <v>1003</v>
      </c>
      <c r="C682" s="16" t="s">
        <v>1010</v>
      </c>
      <c r="D682" s="46" t="s">
        <v>1051</v>
      </c>
      <c r="E682" s="16" t="s">
        <v>1015</v>
      </c>
      <c r="F682" s="16" t="s">
        <v>1022</v>
      </c>
      <c r="G682" s="16" t="s">
        <v>1025</v>
      </c>
      <c r="H682" s="21" t="s">
        <v>853</v>
      </c>
      <c r="I682" s="80">
        <v>24</v>
      </c>
      <c r="J682" s="81" t="s">
        <v>854</v>
      </c>
      <c r="K682" s="23"/>
      <c r="L682" s="23"/>
      <c r="M682" s="126">
        <f>+Tabla13[[#This Row],[PF INICIAL]]+Tabla13[[#This Row],[AJUSTE 1]]</f>
        <v>0</v>
      </c>
    </row>
    <row r="683" spans="2:13" ht="15" x14ac:dyDescent="0.25">
      <c r="B683" s="16"/>
      <c r="C683" s="16"/>
      <c r="D683" s="16"/>
      <c r="E683" s="16"/>
      <c r="F683" s="16"/>
      <c r="G683" s="16"/>
      <c r="H683" s="44">
        <v>1.2</v>
      </c>
      <c r="I683" s="80"/>
      <c r="J683" s="78" t="s">
        <v>771</v>
      </c>
      <c r="K683" s="167">
        <f>+K684+K689+K693</f>
        <v>0</v>
      </c>
      <c r="L683" s="167">
        <f t="shared" ref="L683:M683" si="404">+L684+L689+L693</f>
        <v>0</v>
      </c>
      <c r="M683" s="167">
        <f t="shared" si="404"/>
        <v>0</v>
      </c>
    </row>
    <row r="684" spans="2:13" ht="15" x14ac:dyDescent="0.25">
      <c r="B684" s="16"/>
      <c r="C684" s="16"/>
      <c r="D684" s="16"/>
      <c r="E684" s="16"/>
      <c r="F684" s="16"/>
      <c r="G684" s="16"/>
      <c r="H684" s="17" t="s">
        <v>855</v>
      </c>
      <c r="I684" s="80"/>
      <c r="J684" s="78" t="s">
        <v>856</v>
      </c>
      <c r="K684" s="167">
        <f>+K685</f>
        <v>0</v>
      </c>
      <c r="L684" s="167">
        <f t="shared" ref="L684:M684" si="405">+L685</f>
        <v>0</v>
      </c>
      <c r="M684" s="167">
        <f t="shared" si="405"/>
        <v>0</v>
      </c>
    </row>
    <row r="685" spans="2:13" ht="15" x14ac:dyDescent="0.25">
      <c r="B685" s="16"/>
      <c r="C685" s="16"/>
      <c r="D685" s="16"/>
      <c r="E685" s="16"/>
      <c r="F685" s="16"/>
      <c r="G685" s="16"/>
      <c r="H685" s="21" t="s">
        <v>857</v>
      </c>
      <c r="I685" s="80"/>
      <c r="J685" s="81" t="s">
        <v>858</v>
      </c>
      <c r="K685" s="167">
        <f>+K686+K687+K688</f>
        <v>0</v>
      </c>
      <c r="L685" s="167">
        <f t="shared" ref="L685:M685" si="406">+L686+L687+L688</f>
        <v>0</v>
      </c>
      <c r="M685" s="167">
        <f t="shared" si="406"/>
        <v>0</v>
      </c>
    </row>
    <row r="686" spans="2:13" x14ac:dyDescent="0.2">
      <c r="B686" s="16" t="s">
        <v>1003</v>
      </c>
      <c r="C686" s="16" t="s">
        <v>1010</v>
      </c>
      <c r="D686" s="46" t="s">
        <v>1051</v>
      </c>
      <c r="E686" s="16" t="s">
        <v>1016</v>
      </c>
      <c r="F686" s="16" t="s">
        <v>1023</v>
      </c>
      <c r="G686" s="16" t="s">
        <v>1025</v>
      </c>
      <c r="H686" s="21" t="s">
        <v>859</v>
      </c>
      <c r="I686" s="80">
        <v>12</v>
      </c>
      <c r="J686" s="81" t="s">
        <v>860</v>
      </c>
      <c r="K686" s="23"/>
      <c r="L686" s="23"/>
      <c r="M686" s="126">
        <f>+Tabla13[[#This Row],[PF INICIAL]]+Tabla13[[#This Row],[AJUSTE 1]]</f>
        <v>0</v>
      </c>
    </row>
    <row r="687" spans="2:13" x14ac:dyDescent="0.2">
      <c r="B687" s="16" t="s">
        <v>1003</v>
      </c>
      <c r="C687" s="16" t="s">
        <v>1010</v>
      </c>
      <c r="D687" s="46" t="s">
        <v>1051</v>
      </c>
      <c r="E687" s="16" t="s">
        <v>1016</v>
      </c>
      <c r="F687" s="16" t="s">
        <v>1023</v>
      </c>
      <c r="G687" s="16" t="s">
        <v>1025</v>
      </c>
      <c r="H687" s="21" t="s">
        <v>861</v>
      </c>
      <c r="I687" s="80">
        <v>12</v>
      </c>
      <c r="J687" s="81" t="s">
        <v>862</v>
      </c>
      <c r="K687" s="23"/>
      <c r="L687" s="23"/>
      <c r="M687" s="126">
        <f>+Tabla13[[#This Row],[PF INICIAL]]+Tabla13[[#This Row],[AJUSTE 1]]</f>
        <v>0</v>
      </c>
    </row>
    <row r="688" spans="2:13" x14ac:dyDescent="0.2">
      <c r="B688" s="16" t="s">
        <v>1003</v>
      </c>
      <c r="C688" s="16" t="s">
        <v>1010</v>
      </c>
      <c r="D688" s="46" t="s">
        <v>1051</v>
      </c>
      <c r="E688" s="16" t="s">
        <v>1016</v>
      </c>
      <c r="F688" s="16" t="s">
        <v>1023</v>
      </c>
      <c r="G688" s="16" t="s">
        <v>1025</v>
      </c>
      <c r="H688" s="21" t="s">
        <v>863</v>
      </c>
      <c r="I688" s="80">
        <v>12</v>
      </c>
      <c r="J688" s="81" t="s">
        <v>864</v>
      </c>
      <c r="K688" s="23"/>
      <c r="L688" s="23"/>
      <c r="M688" s="126">
        <f>+Tabla13[[#This Row],[PF INICIAL]]+Tabla13[[#This Row],[AJUSTE 1]]</f>
        <v>0</v>
      </c>
    </row>
    <row r="689" spans="2:13" ht="15" x14ac:dyDescent="0.25">
      <c r="B689" s="16"/>
      <c r="C689" s="16"/>
      <c r="D689" s="16"/>
      <c r="E689" s="16"/>
      <c r="F689" s="16"/>
      <c r="G689" s="16"/>
      <c r="H689" s="17" t="s">
        <v>832</v>
      </c>
      <c r="I689" s="80"/>
      <c r="J689" s="78" t="s">
        <v>772</v>
      </c>
      <c r="K689" s="167">
        <f>+K690</f>
        <v>0</v>
      </c>
      <c r="L689" s="167">
        <f t="shared" ref="L689:M689" si="407">+L690</f>
        <v>0</v>
      </c>
      <c r="M689" s="167">
        <f t="shared" si="407"/>
        <v>0</v>
      </c>
    </row>
    <row r="690" spans="2:13" ht="15" x14ac:dyDescent="0.25">
      <c r="B690" s="16"/>
      <c r="C690" s="16"/>
      <c r="D690" s="16"/>
      <c r="E690" s="16"/>
      <c r="F690" s="16"/>
      <c r="G690" s="16"/>
      <c r="H690" s="21" t="s">
        <v>846</v>
      </c>
      <c r="I690" s="80"/>
      <c r="J690" s="81" t="s">
        <v>865</v>
      </c>
      <c r="K690" s="167">
        <f>+K691+K692</f>
        <v>0</v>
      </c>
      <c r="L690" s="167">
        <f t="shared" ref="L690:M690" si="408">+L691+L692</f>
        <v>0</v>
      </c>
      <c r="M690" s="167">
        <f t="shared" si="408"/>
        <v>0</v>
      </c>
    </row>
    <row r="691" spans="2:13" x14ac:dyDescent="0.2">
      <c r="B691" s="16" t="s">
        <v>1003</v>
      </c>
      <c r="C691" s="16" t="s">
        <v>1010</v>
      </c>
      <c r="D691" s="46" t="s">
        <v>1051</v>
      </c>
      <c r="E691" s="16" t="s">
        <v>1016</v>
      </c>
      <c r="F691" s="16" t="s">
        <v>1023</v>
      </c>
      <c r="G691" s="16" t="s">
        <v>1028</v>
      </c>
      <c r="H691" s="21" t="s">
        <v>866</v>
      </c>
      <c r="I691" s="80">
        <v>12</v>
      </c>
      <c r="J691" s="81" t="s">
        <v>867</v>
      </c>
      <c r="K691" s="23"/>
      <c r="L691" s="23"/>
      <c r="M691" s="126">
        <f>+Tabla13[[#This Row],[PF INICIAL]]+Tabla13[[#This Row],[AJUSTE 1]]</f>
        <v>0</v>
      </c>
    </row>
    <row r="692" spans="2:13" x14ac:dyDescent="0.2">
      <c r="B692" s="16" t="s">
        <v>1003</v>
      </c>
      <c r="C692" s="16" t="s">
        <v>1010</v>
      </c>
      <c r="D692" s="46" t="s">
        <v>1051</v>
      </c>
      <c r="E692" s="16" t="s">
        <v>1016</v>
      </c>
      <c r="F692" s="16" t="s">
        <v>1023</v>
      </c>
      <c r="G692" s="16" t="s">
        <v>1028</v>
      </c>
      <c r="H692" s="21" t="s">
        <v>868</v>
      </c>
      <c r="I692" s="80">
        <v>12</v>
      </c>
      <c r="J692" s="81" t="s">
        <v>869</v>
      </c>
      <c r="K692" s="23"/>
      <c r="L692" s="23"/>
      <c r="M692" s="126">
        <f>+Tabla13[[#This Row],[PF INICIAL]]+Tabla13[[#This Row],[AJUSTE 1]]</f>
        <v>0</v>
      </c>
    </row>
    <row r="693" spans="2:13" ht="15" x14ac:dyDescent="0.2">
      <c r="B693" s="16"/>
      <c r="C693" s="16"/>
      <c r="D693" s="46"/>
      <c r="E693" s="16"/>
      <c r="F693" s="16"/>
      <c r="G693" s="16"/>
      <c r="H693" s="58" t="s">
        <v>840</v>
      </c>
      <c r="I693" s="63"/>
      <c r="J693" s="60" t="s">
        <v>841</v>
      </c>
      <c r="K693" s="157">
        <f>+K694+K695</f>
        <v>0</v>
      </c>
      <c r="L693" s="157">
        <f t="shared" ref="L693:M693" si="409">+L694+L695</f>
        <v>0</v>
      </c>
      <c r="M693" s="157">
        <f t="shared" si="409"/>
        <v>0</v>
      </c>
    </row>
    <row r="694" spans="2:13" x14ac:dyDescent="0.2">
      <c r="B694" s="16" t="s">
        <v>1003</v>
      </c>
      <c r="C694" s="16" t="s">
        <v>1010</v>
      </c>
      <c r="D694" s="46" t="s">
        <v>1051</v>
      </c>
      <c r="E694" s="16" t="s">
        <v>1016</v>
      </c>
      <c r="F694" s="16" t="s">
        <v>1023</v>
      </c>
      <c r="G694" s="16" t="s">
        <v>1029</v>
      </c>
      <c r="H694" s="62" t="s">
        <v>842</v>
      </c>
      <c r="I694" s="63">
        <v>12</v>
      </c>
      <c r="J694" s="64" t="s">
        <v>843</v>
      </c>
      <c r="K694" s="23"/>
      <c r="L694" s="23"/>
      <c r="M694" s="126">
        <f>+Tabla13[[#This Row],[PF INICIAL]]+Tabla13[[#This Row],[AJUSTE 1]]</f>
        <v>0</v>
      </c>
    </row>
    <row r="695" spans="2:13" x14ac:dyDescent="0.2">
      <c r="B695" s="16" t="s">
        <v>1003</v>
      </c>
      <c r="C695" s="16" t="s">
        <v>1010</v>
      </c>
      <c r="D695" s="46" t="s">
        <v>1051</v>
      </c>
      <c r="E695" s="16" t="s">
        <v>1016</v>
      </c>
      <c r="F695" s="16" t="s">
        <v>1023</v>
      </c>
      <c r="G695" s="16" t="s">
        <v>1030</v>
      </c>
      <c r="H695" s="45" t="s">
        <v>844</v>
      </c>
      <c r="I695" s="67">
        <v>12</v>
      </c>
      <c r="J695" s="68" t="s">
        <v>845</v>
      </c>
      <c r="K695" s="23"/>
      <c r="L695" s="23"/>
      <c r="M695" s="126">
        <f>+Tabla13[[#This Row],[PF INICIAL]]+Tabla13[[#This Row],[AJUSTE 1]]</f>
        <v>0</v>
      </c>
    </row>
    <row r="696" spans="2:13" x14ac:dyDescent="0.2">
      <c r="B696" s="16"/>
      <c r="C696" s="16"/>
      <c r="D696" s="46"/>
      <c r="E696" s="16"/>
      <c r="F696" s="16"/>
      <c r="G696" s="16"/>
      <c r="H696" s="21"/>
      <c r="I696" s="80"/>
      <c r="J696" s="81"/>
      <c r="K696" s="23"/>
      <c r="L696" s="23"/>
      <c r="M696" s="23"/>
    </row>
    <row r="697" spans="2:13" ht="15" x14ac:dyDescent="0.25">
      <c r="B697" s="16"/>
      <c r="C697" s="16"/>
      <c r="D697" s="16"/>
      <c r="E697" s="16"/>
      <c r="F697" s="16"/>
      <c r="G697" s="16"/>
      <c r="H697" s="70"/>
      <c r="I697" s="190"/>
      <c r="J697" s="70" t="s">
        <v>911</v>
      </c>
      <c r="K697" s="165">
        <f>+K675</f>
        <v>0</v>
      </c>
      <c r="L697" s="165">
        <f t="shared" ref="L697" si="410">+L675</f>
        <v>0</v>
      </c>
      <c r="M697" s="165">
        <f t="shared" ref="M697" si="411">+M675</f>
        <v>0</v>
      </c>
    </row>
    <row r="698" spans="2:13" ht="15" x14ac:dyDescent="0.25">
      <c r="B698" s="16"/>
      <c r="C698" s="16"/>
      <c r="D698" s="16"/>
      <c r="E698" s="16"/>
      <c r="F698" s="16"/>
      <c r="G698" s="16"/>
      <c r="H698" s="72"/>
      <c r="I698" s="73"/>
      <c r="J698" s="70"/>
      <c r="K698" s="165"/>
    </row>
    <row r="699" spans="2:13" ht="15" x14ac:dyDescent="0.25">
      <c r="B699" s="16"/>
      <c r="C699" s="16"/>
      <c r="D699" s="16"/>
      <c r="E699" s="16"/>
      <c r="F699" s="16"/>
      <c r="G699" s="16"/>
      <c r="H699" s="75" t="s">
        <v>870</v>
      </c>
      <c r="I699" s="191"/>
      <c r="J699" s="75"/>
      <c r="K699" s="166"/>
    </row>
    <row r="700" spans="2:13" ht="15" x14ac:dyDescent="0.25">
      <c r="B700" s="16"/>
      <c r="C700" s="16"/>
      <c r="D700" s="16"/>
      <c r="E700" s="16"/>
      <c r="F700" s="16"/>
      <c r="G700" s="16"/>
      <c r="H700" s="75" t="s">
        <v>871</v>
      </c>
      <c r="I700" s="191"/>
      <c r="J700" s="75"/>
      <c r="K700" s="166"/>
    </row>
    <row r="701" spans="2:13" ht="15" x14ac:dyDescent="0.2">
      <c r="B701" s="16"/>
      <c r="C701" s="16"/>
      <c r="D701" s="16"/>
      <c r="E701" s="16"/>
      <c r="F701" s="16"/>
      <c r="G701" s="16"/>
      <c r="H701" s="55" t="s">
        <v>778</v>
      </c>
      <c r="I701" s="56"/>
      <c r="J701" s="32" t="s">
        <v>779</v>
      </c>
      <c r="K701" s="161"/>
    </row>
    <row r="702" spans="2:13" ht="15" x14ac:dyDescent="0.2">
      <c r="B702" s="16"/>
      <c r="C702" s="16"/>
      <c r="D702" s="16"/>
      <c r="E702" s="16"/>
      <c r="F702" s="16"/>
      <c r="G702" s="16"/>
      <c r="H702" s="44" t="s">
        <v>886</v>
      </c>
      <c r="I702" s="85" t="s">
        <v>969</v>
      </c>
      <c r="J702" s="83" t="s">
        <v>768</v>
      </c>
      <c r="K702" s="168">
        <f>+K703+K719</f>
        <v>2327000000</v>
      </c>
      <c r="L702" s="168">
        <f>+L703+L719</f>
        <v>0</v>
      </c>
      <c r="M702" s="168">
        <f>+M703+M719</f>
        <v>2327000000</v>
      </c>
    </row>
    <row r="703" spans="2:13" ht="15" x14ac:dyDescent="0.2">
      <c r="B703" s="16"/>
      <c r="C703" s="16"/>
      <c r="D703" s="16"/>
      <c r="E703" s="16"/>
      <c r="F703" s="16"/>
      <c r="G703" s="16"/>
      <c r="H703" s="17" t="s">
        <v>809</v>
      </c>
      <c r="I703" s="85" t="s">
        <v>969</v>
      </c>
      <c r="J703" s="83" t="s">
        <v>769</v>
      </c>
      <c r="K703" s="168">
        <f t="shared" ref="K703:M704" si="412">+K704</f>
        <v>2327000000</v>
      </c>
      <c r="L703" s="168">
        <f t="shared" si="412"/>
        <v>0</v>
      </c>
      <c r="M703" s="168">
        <f t="shared" si="412"/>
        <v>2327000000</v>
      </c>
    </row>
    <row r="704" spans="2:13" ht="15" x14ac:dyDescent="0.2">
      <c r="B704" s="16"/>
      <c r="C704" s="16"/>
      <c r="D704" s="16"/>
      <c r="E704" s="16"/>
      <c r="F704" s="16"/>
      <c r="G704" s="16"/>
      <c r="H704" s="17" t="s">
        <v>810</v>
      </c>
      <c r="I704" s="85" t="s">
        <v>969</v>
      </c>
      <c r="J704" s="83" t="s">
        <v>770</v>
      </c>
      <c r="K704" s="168">
        <f t="shared" si="412"/>
        <v>2327000000</v>
      </c>
      <c r="L704" s="168">
        <f t="shared" si="412"/>
        <v>0</v>
      </c>
      <c r="M704" s="168">
        <f t="shared" si="412"/>
        <v>2327000000</v>
      </c>
    </row>
    <row r="705" spans="2:13" ht="15" x14ac:dyDescent="0.2">
      <c r="B705" s="16"/>
      <c r="C705" s="16"/>
      <c r="D705" s="16"/>
      <c r="E705" s="16"/>
      <c r="F705" s="16"/>
      <c r="G705" s="16"/>
      <c r="H705" s="17" t="s">
        <v>811</v>
      </c>
      <c r="I705" s="85" t="s">
        <v>969</v>
      </c>
      <c r="J705" s="83" t="s">
        <v>812</v>
      </c>
      <c r="K705" s="168">
        <f t="shared" ref="K705:M706" si="413">+K706+K714</f>
        <v>2327000000</v>
      </c>
      <c r="L705" s="168">
        <f t="shared" si="413"/>
        <v>0</v>
      </c>
      <c r="M705" s="168">
        <f t="shared" si="413"/>
        <v>2327000000</v>
      </c>
    </row>
    <row r="706" spans="2:13" ht="15" x14ac:dyDescent="0.2">
      <c r="B706" s="16"/>
      <c r="C706" s="16"/>
      <c r="D706" s="16"/>
      <c r="E706" s="16"/>
      <c r="F706" s="16"/>
      <c r="G706" s="16"/>
      <c r="H706" s="17" t="s">
        <v>813</v>
      </c>
      <c r="I706" s="85" t="s">
        <v>969</v>
      </c>
      <c r="J706" s="83" t="s">
        <v>814</v>
      </c>
      <c r="K706" s="168">
        <f t="shared" si="413"/>
        <v>2327000000</v>
      </c>
      <c r="L706" s="168">
        <f t="shared" si="413"/>
        <v>0</v>
      </c>
      <c r="M706" s="168">
        <f t="shared" si="413"/>
        <v>2327000000</v>
      </c>
    </row>
    <row r="707" spans="2:13" x14ac:dyDescent="0.2">
      <c r="B707" s="16"/>
      <c r="C707" s="16"/>
      <c r="D707" s="16"/>
      <c r="E707" s="16"/>
      <c r="F707" s="16"/>
      <c r="G707" s="16"/>
      <c r="H707" s="21" t="s">
        <v>872</v>
      </c>
      <c r="I707" s="85" t="s">
        <v>969</v>
      </c>
      <c r="J707" s="86" t="s">
        <v>970</v>
      </c>
      <c r="K707" s="169">
        <f t="shared" ref="K707:M708" si="414">+K708</f>
        <v>2327000000</v>
      </c>
      <c r="L707" s="169">
        <f t="shared" si="414"/>
        <v>0</v>
      </c>
      <c r="M707" s="169">
        <f t="shared" si="414"/>
        <v>2327000000</v>
      </c>
    </row>
    <row r="708" spans="2:13" x14ac:dyDescent="0.2">
      <c r="B708" s="16"/>
      <c r="C708" s="16"/>
      <c r="D708" s="16"/>
      <c r="E708" s="16"/>
      <c r="F708" s="16"/>
      <c r="G708" s="16"/>
      <c r="H708" s="21" t="s">
        <v>873</v>
      </c>
      <c r="I708" s="85" t="s">
        <v>969</v>
      </c>
      <c r="J708" s="88" t="s">
        <v>971</v>
      </c>
      <c r="K708" s="169">
        <f t="shared" si="414"/>
        <v>2327000000</v>
      </c>
      <c r="L708" s="169">
        <f t="shared" si="414"/>
        <v>0</v>
      </c>
      <c r="M708" s="169">
        <f t="shared" si="414"/>
        <v>2327000000</v>
      </c>
    </row>
    <row r="709" spans="2:13" ht="28.5" x14ac:dyDescent="0.2">
      <c r="B709" s="16"/>
      <c r="C709" s="16"/>
      <c r="D709" s="16"/>
      <c r="E709" s="16"/>
      <c r="F709" s="16"/>
      <c r="G709" s="16"/>
      <c r="H709" s="21" t="s">
        <v>972</v>
      </c>
      <c r="I709" s="85" t="s">
        <v>969</v>
      </c>
      <c r="J709" s="89" t="s">
        <v>973</v>
      </c>
      <c r="K709" s="169">
        <f>+K710+K712</f>
        <v>2327000000</v>
      </c>
      <c r="L709" s="169">
        <f>+L710+L712</f>
        <v>0</v>
      </c>
      <c r="M709" s="169">
        <f>+M710+M712</f>
        <v>2327000000</v>
      </c>
    </row>
    <row r="710" spans="2:13" x14ac:dyDescent="0.2">
      <c r="B710" s="16"/>
      <c r="C710" s="16"/>
      <c r="D710" s="16"/>
      <c r="E710" s="16"/>
      <c r="F710" s="16"/>
      <c r="G710" s="16"/>
      <c r="H710" s="21" t="s">
        <v>974</v>
      </c>
      <c r="I710" s="85" t="s">
        <v>969</v>
      </c>
      <c r="J710" s="86" t="s">
        <v>975</v>
      </c>
      <c r="K710" s="157">
        <f>+K711</f>
        <v>150000000</v>
      </c>
      <c r="L710" s="157">
        <f>+L711</f>
        <v>0</v>
      </c>
      <c r="M710" s="157">
        <f>+M711</f>
        <v>150000000</v>
      </c>
    </row>
    <row r="711" spans="2:13" ht="15" x14ac:dyDescent="0.2">
      <c r="B711" s="16" t="s">
        <v>1003</v>
      </c>
      <c r="C711" s="16" t="s">
        <v>1011</v>
      </c>
      <c r="D711" s="46" t="s">
        <v>1051</v>
      </c>
      <c r="E711" s="16" t="s">
        <v>1015</v>
      </c>
      <c r="F711" s="16" t="s">
        <v>1022</v>
      </c>
      <c r="G711" s="16" t="s">
        <v>1025</v>
      </c>
      <c r="H711" s="17" t="s">
        <v>976</v>
      </c>
      <c r="I711" s="85">
        <v>199</v>
      </c>
      <c r="J711" s="83" t="s">
        <v>977</v>
      </c>
      <c r="K711" s="90">
        <v>150000000</v>
      </c>
      <c r="L711" s="90">
        <v>0</v>
      </c>
      <c r="M711" s="126">
        <f>+Tabla13[[#This Row],[PF INICIAL]]+Tabla13[[#This Row],[AJUSTE 1]]</f>
        <v>150000000</v>
      </c>
    </row>
    <row r="712" spans="2:13" ht="15" x14ac:dyDescent="0.2">
      <c r="B712" s="16"/>
      <c r="C712" s="16"/>
      <c r="D712" s="16"/>
      <c r="E712" s="16"/>
      <c r="F712" s="16"/>
      <c r="G712" s="16"/>
      <c r="H712" s="17" t="s">
        <v>874</v>
      </c>
      <c r="I712" s="85" t="s">
        <v>969</v>
      </c>
      <c r="J712" s="83" t="s">
        <v>978</v>
      </c>
      <c r="K712" s="170">
        <f>+K713</f>
        <v>2177000000</v>
      </c>
      <c r="L712" s="170">
        <f>+L713</f>
        <v>0</v>
      </c>
      <c r="M712" s="170">
        <f>+M713</f>
        <v>2177000000</v>
      </c>
    </row>
    <row r="713" spans="2:13" x14ac:dyDescent="0.2">
      <c r="B713" s="16" t="s">
        <v>1003</v>
      </c>
      <c r="C713" s="16" t="s">
        <v>1011</v>
      </c>
      <c r="D713" s="46" t="s">
        <v>1051</v>
      </c>
      <c r="E713" s="16" t="s">
        <v>1015</v>
      </c>
      <c r="F713" s="16" t="s">
        <v>1022</v>
      </c>
      <c r="G713" s="16" t="s">
        <v>1025</v>
      </c>
      <c r="H713" s="21" t="s">
        <v>875</v>
      </c>
      <c r="I713" s="85" t="s">
        <v>979</v>
      </c>
      <c r="J713" s="86" t="s">
        <v>876</v>
      </c>
      <c r="K713" s="90">
        <v>2177000000</v>
      </c>
      <c r="L713" s="90">
        <v>0</v>
      </c>
      <c r="M713" s="126">
        <f>+Tabla13[[#This Row],[PF INICIAL]]+Tabla13[[#This Row],[AJUSTE 1]]</f>
        <v>2177000000</v>
      </c>
    </row>
    <row r="714" spans="2:13" x14ac:dyDescent="0.2">
      <c r="B714" s="16"/>
      <c r="C714" s="16"/>
      <c r="D714" s="16"/>
      <c r="E714" s="16"/>
      <c r="F714" s="16"/>
      <c r="G714" s="16"/>
      <c r="H714" s="21" t="s">
        <v>817</v>
      </c>
      <c r="I714" s="48" t="s">
        <v>969</v>
      </c>
      <c r="J714" s="86" t="s">
        <v>818</v>
      </c>
      <c r="K714" s="157">
        <f t="shared" ref="K714:M715" si="415">+K715</f>
        <v>0</v>
      </c>
      <c r="L714" s="157">
        <f t="shared" si="415"/>
        <v>0</v>
      </c>
      <c r="M714" s="157">
        <f t="shared" si="415"/>
        <v>0</v>
      </c>
    </row>
    <row r="715" spans="2:13" x14ac:dyDescent="0.2">
      <c r="B715" s="16"/>
      <c r="C715" s="16"/>
      <c r="D715" s="16"/>
      <c r="E715" s="16"/>
      <c r="F715" s="16"/>
      <c r="G715" s="16"/>
      <c r="H715" s="21" t="s">
        <v>819</v>
      </c>
      <c r="I715" s="48" t="s">
        <v>969</v>
      </c>
      <c r="J715" s="86" t="s">
        <v>820</v>
      </c>
      <c r="K715" s="157">
        <f t="shared" si="415"/>
        <v>0</v>
      </c>
      <c r="L715" s="157">
        <f t="shared" si="415"/>
        <v>0</v>
      </c>
      <c r="M715" s="157">
        <f t="shared" si="415"/>
        <v>0</v>
      </c>
    </row>
    <row r="716" spans="2:13" ht="15" x14ac:dyDescent="0.2">
      <c r="B716" s="16"/>
      <c r="C716" s="16"/>
      <c r="D716" s="16"/>
      <c r="E716" s="16"/>
      <c r="F716" s="16"/>
      <c r="G716" s="16"/>
      <c r="H716" s="17" t="s">
        <v>823</v>
      </c>
      <c r="I716" s="85" t="s">
        <v>969</v>
      </c>
      <c r="J716" s="83" t="s">
        <v>851</v>
      </c>
      <c r="K716" s="171">
        <f>+K717+K718</f>
        <v>0</v>
      </c>
      <c r="L716" s="171">
        <f>+L717+L718</f>
        <v>0</v>
      </c>
      <c r="M716" s="171">
        <f>+M717+M718</f>
        <v>0</v>
      </c>
    </row>
    <row r="717" spans="2:13" ht="15" x14ac:dyDescent="0.2">
      <c r="B717" s="16" t="s">
        <v>1003</v>
      </c>
      <c r="C717" s="16" t="s">
        <v>1011</v>
      </c>
      <c r="D717" s="46" t="s">
        <v>1051</v>
      </c>
      <c r="E717" s="16" t="s">
        <v>1016</v>
      </c>
      <c r="F717" s="16" t="s">
        <v>1022</v>
      </c>
      <c r="G717" s="16" t="s">
        <v>1025</v>
      </c>
      <c r="H717" s="17" t="s">
        <v>852</v>
      </c>
      <c r="I717" s="85" t="s">
        <v>877</v>
      </c>
      <c r="J717" s="86" t="s">
        <v>980</v>
      </c>
      <c r="K717" s="90">
        <v>0</v>
      </c>
      <c r="L717" s="90">
        <v>0</v>
      </c>
      <c r="M717" s="126">
        <f>+Tabla13[[#This Row],[PF INICIAL]]+Tabla13[[#This Row],[AJUSTE 1]]</f>
        <v>0</v>
      </c>
    </row>
    <row r="718" spans="2:13" x14ac:dyDescent="0.2">
      <c r="B718" s="16" t="s">
        <v>1003</v>
      </c>
      <c r="C718" s="16" t="s">
        <v>1011</v>
      </c>
      <c r="D718" s="46" t="s">
        <v>1051</v>
      </c>
      <c r="E718" s="16" t="s">
        <v>1014</v>
      </c>
      <c r="F718" s="16" t="s">
        <v>1022</v>
      </c>
      <c r="G718" s="16" t="s">
        <v>1025</v>
      </c>
      <c r="H718" s="21" t="s">
        <v>878</v>
      </c>
      <c r="I718" s="85" t="s">
        <v>879</v>
      </c>
      <c r="J718" s="92" t="s">
        <v>981</v>
      </c>
      <c r="K718" s="90">
        <v>0</v>
      </c>
      <c r="L718" s="90">
        <v>0</v>
      </c>
      <c r="M718" s="126">
        <f>+Tabla13[[#This Row],[PF INICIAL]]+Tabla13[[#This Row],[AJUSTE 1]]</f>
        <v>0</v>
      </c>
    </row>
    <row r="719" spans="2:13" ht="15" x14ac:dyDescent="0.25">
      <c r="B719" s="16"/>
      <c r="C719" s="16"/>
      <c r="D719" s="16"/>
      <c r="E719" s="16"/>
      <c r="F719" s="16"/>
      <c r="G719" s="16"/>
      <c r="H719" s="44">
        <v>1.2</v>
      </c>
      <c r="I719" s="80"/>
      <c r="J719" s="78" t="s">
        <v>771</v>
      </c>
      <c r="K719" s="167">
        <f>+K720+K724</f>
        <v>0</v>
      </c>
      <c r="L719" s="167">
        <f>+L720+L724</f>
        <v>0</v>
      </c>
      <c r="M719" s="167">
        <f>+M720+M724</f>
        <v>0</v>
      </c>
    </row>
    <row r="720" spans="2:13" ht="15" x14ac:dyDescent="0.25">
      <c r="B720" s="16"/>
      <c r="C720" s="16"/>
      <c r="D720" s="16"/>
      <c r="E720" s="16"/>
      <c r="F720" s="16"/>
      <c r="G720" s="16"/>
      <c r="H720" s="17" t="s">
        <v>832</v>
      </c>
      <c r="I720" s="80"/>
      <c r="J720" s="78" t="s">
        <v>772</v>
      </c>
      <c r="K720" s="167">
        <f>+K721</f>
        <v>0</v>
      </c>
      <c r="L720" s="167">
        <f>+L721</f>
        <v>0</v>
      </c>
      <c r="M720" s="167">
        <f>+M721</f>
        <v>0</v>
      </c>
    </row>
    <row r="721" spans="2:13" ht="15" x14ac:dyDescent="0.25">
      <c r="B721" s="16"/>
      <c r="C721" s="16"/>
      <c r="D721" s="16"/>
      <c r="E721" s="16"/>
      <c r="F721" s="16"/>
      <c r="G721" s="16"/>
      <c r="H721" s="21" t="s">
        <v>846</v>
      </c>
      <c r="I721" s="80"/>
      <c r="J721" s="81" t="s">
        <v>865</v>
      </c>
      <c r="K721" s="167">
        <f>+K722+K723</f>
        <v>0</v>
      </c>
      <c r="L721" s="167">
        <f>+L722+L723</f>
        <v>0</v>
      </c>
      <c r="M721" s="167">
        <f>+M722+M723</f>
        <v>0</v>
      </c>
    </row>
    <row r="722" spans="2:13" x14ac:dyDescent="0.2">
      <c r="B722" s="16" t="s">
        <v>1003</v>
      </c>
      <c r="C722" s="16" t="s">
        <v>1011</v>
      </c>
      <c r="D722" s="46" t="s">
        <v>1051</v>
      </c>
      <c r="E722" s="16" t="s">
        <v>1016</v>
      </c>
      <c r="F722" s="16" t="s">
        <v>1023</v>
      </c>
      <c r="G722" s="16" t="s">
        <v>1028</v>
      </c>
      <c r="H722" s="21" t="s">
        <v>866</v>
      </c>
      <c r="I722" s="85" t="s">
        <v>877</v>
      </c>
      <c r="J722" s="81" t="s">
        <v>867</v>
      </c>
      <c r="K722" s="23"/>
      <c r="L722" s="23"/>
      <c r="M722" s="126">
        <f>+Tabla13[[#This Row],[PF INICIAL]]+Tabla13[[#This Row],[AJUSTE 1]]</f>
        <v>0</v>
      </c>
    </row>
    <row r="723" spans="2:13" x14ac:dyDescent="0.2">
      <c r="B723" s="16" t="s">
        <v>1003</v>
      </c>
      <c r="C723" s="16" t="s">
        <v>1011</v>
      </c>
      <c r="D723" s="46" t="s">
        <v>1051</v>
      </c>
      <c r="E723" s="16" t="s">
        <v>1016</v>
      </c>
      <c r="F723" s="16" t="s">
        <v>1023</v>
      </c>
      <c r="G723" s="16" t="s">
        <v>1028</v>
      </c>
      <c r="H723" s="21" t="s">
        <v>868</v>
      </c>
      <c r="I723" s="85" t="s">
        <v>877</v>
      </c>
      <c r="J723" s="81" t="s">
        <v>869</v>
      </c>
      <c r="K723" s="23"/>
      <c r="L723" s="23"/>
      <c r="M723" s="126">
        <f>+Tabla13[[#This Row],[PF INICIAL]]+Tabla13[[#This Row],[AJUSTE 1]]</f>
        <v>0</v>
      </c>
    </row>
    <row r="724" spans="2:13" ht="15" x14ac:dyDescent="0.2">
      <c r="B724" s="16"/>
      <c r="C724" s="16"/>
      <c r="D724" s="46"/>
      <c r="E724" s="16"/>
      <c r="F724" s="16"/>
      <c r="G724" s="16"/>
      <c r="H724" s="58" t="s">
        <v>840</v>
      </c>
      <c r="I724" s="63"/>
      <c r="J724" s="60" t="s">
        <v>841</v>
      </c>
      <c r="K724" s="157">
        <f>+K725+K726</f>
        <v>0</v>
      </c>
      <c r="L724" s="157">
        <f>+L725+L726</f>
        <v>0</v>
      </c>
      <c r="M724" s="157">
        <f>+M725+M726</f>
        <v>0</v>
      </c>
    </row>
    <row r="725" spans="2:13" x14ac:dyDescent="0.2">
      <c r="B725" s="16" t="s">
        <v>1003</v>
      </c>
      <c r="C725" s="16" t="s">
        <v>1011</v>
      </c>
      <c r="D725" s="46" t="s">
        <v>1051</v>
      </c>
      <c r="E725" s="16" t="s">
        <v>1016</v>
      </c>
      <c r="F725" s="16" t="s">
        <v>1023</v>
      </c>
      <c r="G725" s="16" t="s">
        <v>1029</v>
      </c>
      <c r="H725" s="62" t="s">
        <v>842</v>
      </c>
      <c r="I725" s="85" t="s">
        <v>877</v>
      </c>
      <c r="J725" s="64" t="s">
        <v>843</v>
      </c>
      <c r="K725" s="23"/>
      <c r="L725" s="23"/>
      <c r="M725" s="126">
        <f>+Tabla13[[#This Row],[PF INICIAL]]+Tabla13[[#This Row],[AJUSTE 1]]</f>
        <v>0</v>
      </c>
    </row>
    <row r="726" spans="2:13" x14ac:dyDescent="0.2">
      <c r="B726" s="16" t="s">
        <v>1003</v>
      </c>
      <c r="C726" s="16" t="s">
        <v>1011</v>
      </c>
      <c r="D726" s="46" t="s">
        <v>1051</v>
      </c>
      <c r="E726" s="16" t="s">
        <v>1016</v>
      </c>
      <c r="F726" s="16" t="s">
        <v>1023</v>
      </c>
      <c r="G726" s="16" t="s">
        <v>1030</v>
      </c>
      <c r="H726" s="45" t="s">
        <v>844</v>
      </c>
      <c r="I726" s="85" t="s">
        <v>877</v>
      </c>
      <c r="J726" s="68" t="s">
        <v>845</v>
      </c>
      <c r="K726" s="23"/>
      <c r="L726" s="23"/>
      <c r="M726" s="126">
        <f>+Tabla13[[#This Row],[PF INICIAL]]+Tabla13[[#This Row],[AJUSTE 1]]</f>
        <v>0</v>
      </c>
    </row>
    <row r="727" spans="2:13" x14ac:dyDescent="0.2">
      <c r="B727" s="16"/>
      <c r="C727" s="16"/>
      <c r="D727" s="46"/>
      <c r="E727" s="16"/>
      <c r="F727" s="16"/>
      <c r="G727" s="16"/>
      <c r="H727" s="21"/>
      <c r="I727" s="85"/>
      <c r="J727" s="92"/>
      <c r="K727" s="90"/>
      <c r="L727" s="90"/>
      <c r="M727" s="90"/>
    </row>
    <row r="728" spans="2:13" ht="15" x14ac:dyDescent="0.25">
      <c r="B728" s="16"/>
      <c r="C728" s="16"/>
      <c r="D728" s="16"/>
      <c r="E728" s="16"/>
      <c r="F728" s="16"/>
      <c r="G728" s="16"/>
      <c r="H728" s="93" t="s">
        <v>883</v>
      </c>
      <c r="I728" s="192"/>
      <c r="J728" s="93"/>
      <c r="K728" s="172">
        <f>+K702</f>
        <v>2327000000</v>
      </c>
      <c r="L728" s="172">
        <f>+L702</f>
        <v>0</v>
      </c>
      <c r="M728" s="172">
        <f>+M702</f>
        <v>2327000000</v>
      </c>
    </row>
    <row r="729" spans="2:13" x14ac:dyDescent="0.2">
      <c r="B729" s="16"/>
      <c r="C729" s="16"/>
      <c r="D729" s="16"/>
      <c r="E729" s="16"/>
      <c r="F729" s="16"/>
      <c r="G729" s="16"/>
      <c r="H729" s="45"/>
      <c r="I729" s="67"/>
      <c r="J729" s="68"/>
      <c r="K729" s="173"/>
      <c r="L729" s="95"/>
      <c r="M729" s="95"/>
    </row>
    <row r="730" spans="2:13" ht="15" x14ac:dyDescent="0.25">
      <c r="B730" s="16"/>
      <c r="C730" s="16"/>
      <c r="D730" s="16"/>
      <c r="E730" s="16"/>
      <c r="F730" s="16"/>
      <c r="G730" s="16"/>
      <c r="H730" s="75" t="s">
        <v>884</v>
      </c>
      <c r="I730" s="191"/>
      <c r="J730" s="75"/>
      <c r="K730" s="166"/>
      <c r="L730" s="76"/>
      <c r="M730" s="76"/>
    </row>
    <row r="731" spans="2:13" ht="15" x14ac:dyDescent="0.25">
      <c r="B731" s="16"/>
      <c r="C731" s="16"/>
      <c r="D731" s="16"/>
      <c r="E731" s="16"/>
      <c r="F731" s="16"/>
      <c r="G731" s="16"/>
      <c r="H731" s="75" t="s">
        <v>885</v>
      </c>
      <c r="I731" s="191"/>
      <c r="J731" s="75"/>
      <c r="K731" s="166"/>
      <c r="L731" s="76"/>
      <c r="M731" s="76"/>
    </row>
    <row r="732" spans="2:13" ht="15" x14ac:dyDescent="0.2">
      <c r="B732" s="16"/>
      <c r="C732" s="16"/>
      <c r="D732" s="16"/>
      <c r="E732" s="16"/>
      <c r="F732" s="16"/>
      <c r="G732" s="16"/>
      <c r="H732" s="55" t="s">
        <v>778</v>
      </c>
      <c r="I732" s="56"/>
      <c r="J732" s="32" t="s">
        <v>779</v>
      </c>
      <c r="K732" s="161"/>
      <c r="L732" s="57"/>
      <c r="M732" s="57"/>
    </row>
    <row r="733" spans="2:13" ht="15" x14ac:dyDescent="0.25">
      <c r="B733" s="16"/>
      <c r="C733" s="16"/>
      <c r="D733" s="16"/>
      <c r="E733" s="16"/>
      <c r="F733" s="16"/>
      <c r="G733" s="16"/>
      <c r="H733" s="96" t="s">
        <v>886</v>
      </c>
      <c r="I733" s="97"/>
      <c r="J733" s="98" t="s">
        <v>768</v>
      </c>
      <c r="K733" s="174">
        <f>+K734+K748</f>
        <v>9955331400</v>
      </c>
      <c r="L733" s="174">
        <f>+L734+L748</f>
        <v>0</v>
      </c>
      <c r="M733" s="174">
        <f>+M734+M748</f>
        <v>9955331400</v>
      </c>
    </row>
    <row r="734" spans="2:13" ht="15" x14ac:dyDescent="0.25">
      <c r="B734" s="16"/>
      <c r="C734" s="16"/>
      <c r="D734" s="16"/>
      <c r="E734" s="16"/>
      <c r="F734" s="16"/>
      <c r="G734" s="16"/>
      <c r="H734" s="96" t="s">
        <v>809</v>
      </c>
      <c r="I734" s="97"/>
      <c r="J734" s="98" t="s">
        <v>769</v>
      </c>
      <c r="K734" s="174">
        <f>+K735</f>
        <v>9937331400</v>
      </c>
      <c r="L734" s="174">
        <f>+L735</f>
        <v>0</v>
      </c>
      <c r="M734" s="174">
        <f>+M735</f>
        <v>9937331400</v>
      </c>
    </row>
    <row r="735" spans="2:13" ht="15" x14ac:dyDescent="0.25">
      <c r="B735" s="16"/>
      <c r="C735" s="16"/>
      <c r="D735" s="16"/>
      <c r="E735" s="16"/>
      <c r="F735" s="16"/>
      <c r="G735" s="16"/>
      <c r="H735" s="96" t="s">
        <v>810</v>
      </c>
      <c r="I735" s="97"/>
      <c r="J735" s="98" t="s">
        <v>770</v>
      </c>
      <c r="K735" s="174">
        <f>+K736+K745</f>
        <v>9937331400</v>
      </c>
      <c r="L735" s="174">
        <f>+L736+L745</f>
        <v>0</v>
      </c>
      <c r="M735" s="174">
        <f>+M736+M745</f>
        <v>9937331400</v>
      </c>
    </row>
    <row r="736" spans="2:13" ht="15" x14ac:dyDescent="0.25">
      <c r="B736" s="16"/>
      <c r="C736" s="16"/>
      <c r="D736" s="16"/>
      <c r="E736" s="16"/>
      <c r="F736" s="16"/>
      <c r="G736" s="16"/>
      <c r="H736" s="96" t="s">
        <v>887</v>
      </c>
      <c r="I736" s="97"/>
      <c r="J736" s="98" t="s">
        <v>888</v>
      </c>
      <c r="K736" s="174">
        <f>+K737</f>
        <v>8957331400</v>
      </c>
      <c r="L736" s="174">
        <f>+L737</f>
        <v>0</v>
      </c>
      <c r="M736" s="174">
        <f>+M737</f>
        <v>8957331400</v>
      </c>
    </row>
    <row r="737" spans="2:13" ht="15" x14ac:dyDescent="0.25">
      <c r="B737" s="16"/>
      <c r="C737" s="16"/>
      <c r="D737" s="16"/>
      <c r="E737" s="16"/>
      <c r="F737" s="16"/>
      <c r="G737" s="16"/>
      <c r="H737" s="96" t="s">
        <v>889</v>
      </c>
      <c r="I737" s="97"/>
      <c r="J737" s="98" t="s">
        <v>890</v>
      </c>
      <c r="K737" s="174">
        <f>SUM(K738:K744)</f>
        <v>8957331400</v>
      </c>
      <c r="L737" s="174">
        <f>SUM(L738:L744)</f>
        <v>0</v>
      </c>
      <c r="M737" s="174">
        <f>SUM(M738:M744)</f>
        <v>8957331400</v>
      </c>
    </row>
    <row r="738" spans="2:13" x14ac:dyDescent="0.2">
      <c r="B738" s="16" t="s">
        <v>1003</v>
      </c>
      <c r="C738" s="16" t="s">
        <v>1037</v>
      </c>
      <c r="D738" s="46" t="s">
        <v>1051</v>
      </c>
      <c r="E738" s="16" t="s">
        <v>1015</v>
      </c>
      <c r="F738" s="16" t="s">
        <v>1022</v>
      </c>
      <c r="G738" s="16" t="s">
        <v>1025</v>
      </c>
      <c r="H738" s="100" t="s">
        <v>891</v>
      </c>
      <c r="I738" s="97">
        <v>300</v>
      </c>
      <c r="J738" s="145" t="s">
        <v>892</v>
      </c>
      <c r="K738" s="146">
        <v>465571200</v>
      </c>
      <c r="L738" s="146">
        <v>0</v>
      </c>
      <c r="M738" s="126">
        <f>+Tabla13[[#This Row],[PF INICIAL]]+Tabla13[[#This Row],[AJUSTE 1]]</f>
        <v>465571200</v>
      </c>
    </row>
    <row r="739" spans="2:13" x14ac:dyDescent="0.2">
      <c r="B739" s="16" t="s">
        <v>1003</v>
      </c>
      <c r="C739" s="16" t="s">
        <v>1037</v>
      </c>
      <c r="D739" s="46" t="s">
        <v>1051</v>
      </c>
      <c r="E739" s="16" t="s">
        <v>1015</v>
      </c>
      <c r="F739" s="16" t="s">
        <v>1022</v>
      </c>
      <c r="G739" s="16" t="s">
        <v>1025</v>
      </c>
      <c r="H739" s="100" t="s">
        <v>893</v>
      </c>
      <c r="I739" s="97">
        <v>300</v>
      </c>
      <c r="J739" s="101" t="s">
        <v>894</v>
      </c>
      <c r="K739" s="102">
        <v>147426000</v>
      </c>
      <c r="L739" s="102">
        <v>0</v>
      </c>
      <c r="M739" s="126">
        <f>+Tabla13[[#This Row],[PF INICIAL]]+Tabla13[[#This Row],[AJUSTE 1]]</f>
        <v>147426000</v>
      </c>
    </row>
    <row r="740" spans="2:13" x14ac:dyDescent="0.2">
      <c r="B740" s="16" t="s">
        <v>1003</v>
      </c>
      <c r="C740" s="16" t="s">
        <v>1037</v>
      </c>
      <c r="D740" s="46" t="s">
        <v>1051</v>
      </c>
      <c r="E740" s="16" t="s">
        <v>1015</v>
      </c>
      <c r="F740" s="16" t="s">
        <v>1022</v>
      </c>
      <c r="G740" s="16" t="s">
        <v>1025</v>
      </c>
      <c r="H740" s="100" t="s">
        <v>895</v>
      </c>
      <c r="I740" s="97">
        <v>300</v>
      </c>
      <c r="J740" s="101" t="s">
        <v>896</v>
      </c>
      <c r="K740" s="102">
        <v>833166600</v>
      </c>
      <c r="L740" s="102">
        <v>0</v>
      </c>
      <c r="M740" s="126">
        <f>+Tabla13[[#This Row],[PF INICIAL]]+Tabla13[[#This Row],[AJUSTE 1]]</f>
        <v>833166600</v>
      </c>
    </row>
    <row r="741" spans="2:13" x14ac:dyDescent="0.2">
      <c r="B741" s="16" t="s">
        <v>1003</v>
      </c>
      <c r="C741" s="16" t="s">
        <v>1037</v>
      </c>
      <c r="D741" s="46" t="s">
        <v>1051</v>
      </c>
      <c r="E741" s="16" t="s">
        <v>1015</v>
      </c>
      <c r="F741" s="16" t="s">
        <v>1022</v>
      </c>
      <c r="G741" s="16" t="s">
        <v>1025</v>
      </c>
      <c r="H741" s="100" t="s">
        <v>897</v>
      </c>
      <c r="I741" s="97">
        <v>300</v>
      </c>
      <c r="J741" s="101" t="s">
        <v>898</v>
      </c>
      <c r="K741" s="102">
        <v>646526000</v>
      </c>
      <c r="L741" s="102">
        <v>0</v>
      </c>
      <c r="M741" s="126">
        <f>+Tabla13[[#This Row],[PF INICIAL]]+Tabla13[[#This Row],[AJUSTE 1]]</f>
        <v>646526000</v>
      </c>
    </row>
    <row r="742" spans="2:13" x14ac:dyDescent="0.2">
      <c r="B742" s="16" t="s">
        <v>1003</v>
      </c>
      <c r="C742" s="16" t="s">
        <v>1037</v>
      </c>
      <c r="D742" s="46" t="s">
        <v>1051</v>
      </c>
      <c r="E742" s="16" t="s">
        <v>1015</v>
      </c>
      <c r="F742" s="16" t="s">
        <v>1022</v>
      </c>
      <c r="G742" s="16" t="s">
        <v>1025</v>
      </c>
      <c r="H742" s="100" t="s">
        <v>899</v>
      </c>
      <c r="I742" s="97">
        <v>300</v>
      </c>
      <c r="J742" s="101" t="s">
        <v>900</v>
      </c>
      <c r="K742" s="102">
        <v>83535300</v>
      </c>
      <c r="L742" s="102">
        <v>0</v>
      </c>
      <c r="M742" s="126">
        <f>+Tabla13[[#This Row],[PF INICIAL]]+Tabla13[[#This Row],[AJUSTE 1]]</f>
        <v>83535300</v>
      </c>
    </row>
    <row r="743" spans="2:13" x14ac:dyDescent="0.2">
      <c r="B743" s="16" t="s">
        <v>1003</v>
      </c>
      <c r="C743" s="16" t="s">
        <v>1037</v>
      </c>
      <c r="D743" s="46" t="s">
        <v>1051</v>
      </c>
      <c r="E743" s="16" t="s">
        <v>1015</v>
      </c>
      <c r="F743" s="16" t="s">
        <v>1022</v>
      </c>
      <c r="G743" s="16" t="s">
        <v>1025</v>
      </c>
      <c r="H743" s="100" t="s">
        <v>901</v>
      </c>
      <c r="I743" s="97">
        <v>300</v>
      </c>
      <c r="J743" s="101" t="s">
        <v>902</v>
      </c>
      <c r="K743" s="102">
        <v>2762000</v>
      </c>
      <c r="L743" s="102">
        <v>0</v>
      </c>
      <c r="M743" s="126">
        <f>+Tabla13[[#This Row],[PF INICIAL]]+Tabla13[[#This Row],[AJUSTE 1]]</f>
        <v>2762000</v>
      </c>
    </row>
    <row r="744" spans="2:13" x14ac:dyDescent="0.2">
      <c r="B744" s="16" t="s">
        <v>1003</v>
      </c>
      <c r="C744" s="16" t="s">
        <v>1037</v>
      </c>
      <c r="D744" s="46" t="s">
        <v>1051</v>
      </c>
      <c r="E744" s="16" t="s">
        <v>1015</v>
      </c>
      <c r="F744" s="16" t="s">
        <v>1022</v>
      </c>
      <c r="G744" s="16" t="s">
        <v>1025</v>
      </c>
      <c r="H744" s="100" t="s">
        <v>903</v>
      </c>
      <c r="I744" s="97">
        <v>300</v>
      </c>
      <c r="J744" s="101" t="s">
        <v>904</v>
      </c>
      <c r="K744" s="102">
        <v>6778344300</v>
      </c>
      <c r="L744" s="102">
        <v>0</v>
      </c>
      <c r="M744" s="126">
        <f>+Tabla13[[#This Row],[PF INICIAL]]+Tabla13[[#This Row],[AJUSTE 1]]</f>
        <v>6778344300</v>
      </c>
    </row>
    <row r="745" spans="2:13" ht="15" x14ac:dyDescent="0.25">
      <c r="B745" s="16"/>
      <c r="C745" s="16"/>
      <c r="D745" s="16"/>
      <c r="E745" s="16"/>
      <c r="F745" s="16"/>
      <c r="G745" s="16"/>
      <c r="H745" s="96" t="s">
        <v>905</v>
      </c>
      <c r="I745" s="97"/>
      <c r="J745" s="104" t="s">
        <v>906</v>
      </c>
      <c r="K745" s="175">
        <f t="shared" ref="K745:M746" si="416">+K746</f>
        <v>980000000</v>
      </c>
      <c r="L745" s="175">
        <f t="shared" si="416"/>
        <v>0</v>
      </c>
      <c r="M745" s="175">
        <f t="shared" si="416"/>
        <v>980000000</v>
      </c>
    </row>
    <row r="746" spans="2:13" ht="15" x14ac:dyDescent="0.25">
      <c r="B746" s="16"/>
      <c r="C746" s="16"/>
      <c r="D746" s="16"/>
      <c r="E746" s="16"/>
      <c r="F746" s="16"/>
      <c r="G746" s="16"/>
      <c r="H746" s="96" t="s">
        <v>907</v>
      </c>
      <c r="I746" s="97"/>
      <c r="J746" s="104" t="s">
        <v>908</v>
      </c>
      <c r="K746" s="175">
        <f t="shared" si="416"/>
        <v>980000000</v>
      </c>
      <c r="L746" s="175">
        <f t="shared" si="416"/>
        <v>0</v>
      </c>
      <c r="M746" s="175">
        <f t="shared" si="416"/>
        <v>980000000</v>
      </c>
    </row>
    <row r="747" spans="2:13" x14ac:dyDescent="0.2">
      <c r="B747" s="16" t="s">
        <v>1003</v>
      </c>
      <c r="C747" s="16" t="s">
        <v>1037</v>
      </c>
      <c r="D747" s="46" t="s">
        <v>1051</v>
      </c>
      <c r="E747" s="16" t="s">
        <v>1015</v>
      </c>
      <c r="F747" s="16" t="s">
        <v>1022</v>
      </c>
      <c r="G747" s="16" t="s">
        <v>1025</v>
      </c>
      <c r="H747" s="100" t="s">
        <v>909</v>
      </c>
      <c r="I747" s="97">
        <v>300</v>
      </c>
      <c r="J747" s="101" t="s">
        <v>910</v>
      </c>
      <c r="K747" s="102">
        <v>980000000</v>
      </c>
      <c r="L747" s="102">
        <v>0</v>
      </c>
      <c r="M747" s="126">
        <f>+Tabla13[[#This Row],[PF INICIAL]]+Tabla13[[#This Row],[AJUSTE 1]]</f>
        <v>980000000</v>
      </c>
    </row>
    <row r="748" spans="2:13" ht="15" x14ac:dyDescent="0.25">
      <c r="B748" s="16"/>
      <c r="C748" s="16"/>
      <c r="D748" s="16"/>
      <c r="E748" s="16"/>
      <c r="F748" s="16"/>
      <c r="G748" s="16"/>
      <c r="H748" s="96" t="s">
        <v>831</v>
      </c>
      <c r="I748" s="97"/>
      <c r="J748" s="104" t="s">
        <v>771</v>
      </c>
      <c r="K748" s="175">
        <f>+K749+K751</f>
        <v>18000000</v>
      </c>
      <c r="L748" s="175">
        <f>+L749+L751</f>
        <v>0</v>
      </c>
      <c r="M748" s="175">
        <f>+M749+M751</f>
        <v>18000000</v>
      </c>
    </row>
    <row r="749" spans="2:13" ht="15" x14ac:dyDescent="0.25">
      <c r="B749" s="16"/>
      <c r="C749" s="16"/>
      <c r="D749" s="16"/>
      <c r="E749" s="16"/>
      <c r="F749" s="16"/>
      <c r="G749" s="16"/>
      <c r="H749" s="96" t="s">
        <v>832</v>
      </c>
      <c r="I749" s="97"/>
      <c r="J749" s="104" t="s">
        <v>932</v>
      </c>
      <c r="K749" s="175">
        <f>+K750</f>
        <v>18000000</v>
      </c>
      <c r="L749" s="175">
        <f>+L750</f>
        <v>0</v>
      </c>
      <c r="M749" s="175">
        <f>+M750</f>
        <v>18000000</v>
      </c>
    </row>
    <row r="750" spans="2:13" x14ac:dyDescent="0.2">
      <c r="B750" s="16" t="s">
        <v>1003</v>
      </c>
      <c r="C750" s="16" t="s">
        <v>1037</v>
      </c>
      <c r="D750" s="46" t="s">
        <v>1051</v>
      </c>
      <c r="E750" s="16" t="s">
        <v>1015</v>
      </c>
      <c r="F750" s="16" t="s">
        <v>1023</v>
      </c>
      <c r="G750" s="16" t="s">
        <v>1028</v>
      </c>
      <c r="H750" s="100" t="s">
        <v>846</v>
      </c>
      <c r="I750" s="97">
        <v>300</v>
      </c>
      <c r="J750" s="101" t="s">
        <v>242</v>
      </c>
      <c r="K750" s="102">
        <v>18000000</v>
      </c>
      <c r="L750" s="102">
        <v>0</v>
      </c>
      <c r="M750" s="126">
        <f>+Tabla13[[#This Row],[PF INICIAL]]+Tabla13[[#This Row],[AJUSTE 1]]</f>
        <v>18000000</v>
      </c>
    </row>
    <row r="751" spans="2:13" ht="15" x14ac:dyDescent="0.2">
      <c r="B751" s="16"/>
      <c r="C751" s="16"/>
      <c r="D751" s="46"/>
      <c r="E751" s="16"/>
      <c r="F751" s="16"/>
      <c r="G751" s="16"/>
      <c r="H751" s="58" t="s">
        <v>840</v>
      </c>
      <c r="I751" s="63"/>
      <c r="J751" s="60" t="s">
        <v>841</v>
      </c>
      <c r="K751" s="157">
        <f>+K752+K753</f>
        <v>0</v>
      </c>
      <c r="L751" s="157">
        <f>+L752+L753</f>
        <v>0</v>
      </c>
      <c r="M751" s="157">
        <f>+M752+M753</f>
        <v>0</v>
      </c>
    </row>
    <row r="752" spans="2:13" x14ac:dyDescent="0.2">
      <c r="B752" s="16" t="s">
        <v>1003</v>
      </c>
      <c r="C752" s="16" t="s">
        <v>1037</v>
      </c>
      <c r="D752" s="46" t="s">
        <v>1051</v>
      </c>
      <c r="E752" s="16" t="s">
        <v>1016</v>
      </c>
      <c r="F752" s="16" t="s">
        <v>1023</v>
      </c>
      <c r="G752" s="16" t="s">
        <v>1029</v>
      </c>
      <c r="H752" s="62" t="s">
        <v>842</v>
      </c>
      <c r="I752" s="85" t="s">
        <v>877</v>
      </c>
      <c r="J752" s="64" t="s">
        <v>843</v>
      </c>
      <c r="K752" s="23"/>
      <c r="L752" s="23"/>
      <c r="M752" s="126">
        <f>+Tabla13[[#This Row],[PF INICIAL]]+Tabla13[[#This Row],[AJUSTE 1]]</f>
        <v>0</v>
      </c>
    </row>
    <row r="753" spans="2:13" x14ac:dyDescent="0.2">
      <c r="B753" s="16" t="s">
        <v>1003</v>
      </c>
      <c r="C753" s="16" t="s">
        <v>1037</v>
      </c>
      <c r="D753" s="46" t="s">
        <v>1051</v>
      </c>
      <c r="E753" s="16" t="s">
        <v>1016</v>
      </c>
      <c r="F753" s="16" t="s">
        <v>1023</v>
      </c>
      <c r="G753" s="16" t="s">
        <v>1030</v>
      </c>
      <c r="H753" s="45" t="s">
        <v>844</v>
      </c>
      <c r="I753" s="85" t="s">
        <v>877</v>
      </c>
      <c r="J753" s="68" t="s">
        <v>845</v>
      </c>
      <c r="K753" s="23"/>
      <c r="L753" s="23"/>
      <c r="M753" s="126">
        <f>+Tabla13[[#This Row],[PF INICIAL]]+Tabla13[[#This Row],[AJUSTE 1]]</f>
        <v>0</v>
      </c>
    </row>
    <row r="754" spans="2:13" x14ac:dyDescent="0.2">
      <c r="B754" s="16"/>
      <c r="C754" s="16"/>
      <c r="D754" s="46"/>
      <c r="E754" s="16"/>
      <c r="F754" s="16"/>
      <c r="G754" s="16"/>
      <c r="H754" s="100"/>
      <c r="I754" s="97"/>
      <c r="J754" s="101"/>
      <c r="K754" s="102"/>
      <c r="L754" s="102"/>
      <c r="M754" s="102"/>
    </row>
    <row r="755" spans="2:13" ht="15" x14ac:dyDescent="0.25">
      <c r="B755" s="16"/>
      <c r="C755" s="16"/>
      <c r="D755" s="16"/>
      <c r="E755" s="16"/>
      <c r="F755" s="16"/>
      <c r="G755" s="16"/>
      <c r="H755" s="106" t="s">
        <v>911</v>
      </c>
      <c r="I755" s="193"/>
      <c r="J755" s="106"/>
      <c r="K755" s="167">
        <f>+K733</f>
        <v>9955331400</v>
      </c>
      <c r="L755" s="167">
        <f>+L733</f>
        <v>0</v>
      </c>
      <c r="M755" s="167">
        <f>+M733</f>
        <v>9955331400</v>
      </c>
    </row>
    <row r="756" spans="2:13" ht="15" x14ac:dyDescent="0.25">
      <c r="B756" s="16"/>
      <c r="C756" s="16"/>
      <c r="D756" s="16"/>
      <c r="E756" s="16"/>
      <c r="F756" s="16"/>
      <c r="G756" s="16"/>
      <c r="H756" s="45"/>
      <c r="I756" s="67"/>
      <c r="J756" s="107"/>
      <c r="K756" s="167"/>
      <c r="L756" s="79"/>
      <c r="M756" s="79"/>
    </row>
    <row r="757" spans="2:13" ht="15" x14ac:dyDescent="0.25">
      <c r="B757" s="16"/>
      <c r="C757" s="16"/>
      <c r="D757" s="16"/>
      <c r="E757" s="16"/>
      <c r="F757" s="16"/>
      <c r="G757" s="16"/>
      <c r="H757" s="75" t="s">
        <v>912</v>
      </c>
      <c r="I757" s="191"/>
      <c r="J757" s="75"/>
      <c r="K757" s="166"/>
      <c r="L757" s="76"/>
      <c r="M757" s="76"/>
    </row>
    <row r="758" spans="2:13" ht="15" x14ac:dyDescent="0.25">
      <c r="B758" s="16"/>
      <c r="C758" s="16"/>
      <c r="D758" s="16"/>
      <c r="E758" s="16"/>
      <c r="F758" s="16"/>
      <c r="G758" s="16"/>
      <c r="H758" s="75" t="s">
        <v>913</v>
      </c>
      <c r="I758" s="191"/>
      <c r="J758" s="75"/>
      <c r="K758" s="166"/>
      <c r="L758" s="76"/>
      <c r="M758" s="76"/>
    </row>
    <row r="759" spans="2:13" ht="15" x14ac:dyDescent="0.2">
      <c r="B759" s="16"/>
      <c r="C759" s="16"/>
      <c r="D759" s="16"/>
      <c r="E759" s="16"/>
      <c r="F759" s="16"/>
      <c r="G759" s="16"/>
      <c r="H759" s="55" t="s">
        <v>778</v>
      </c>
      <c r="I759" s="56"/>
      <c r="J759" s="32" t="s">
        <v>779</v>
      </c>
      <c r="K759" s="161"/>
      <c r="L759" s="57"/>
      <c r="M759" s="57"/>
    </row>
    <row r="760" spans="2:13" ht="15" x14ac:dyDescent="0.25">
      <c r="B760" s="16"/>
      <c r="C760" s="16"/>
      <c r="D760" s="16"/>
      <c r="E760" s="16"/>
      <c r="F760" s="16"/>
      <c r="G760" s="16"/>
      <c r="H760" s="108">
        <v>1</v>
      </c>
      <c r="I760" s="67"/>
      <c r="J760" s="107" t="s">
        <v>984</v>
      </c>
      <c r="K760" s="167">
        <f>+K761+K766</f>
        <v>4006372500</v>
      </c>
      <c r="L760" s="167">
        <f>+L761+L766</f>
        <v>0</v>
      </c>
      <c r="M760" s="167">
        <f>+M761+M766</f>
        <v>4006372500</v>
      </c>
    </row>
    <row r="761" spans="2:13" ht="15" x14ac:dyDescent="0.25">
      <c r="B761" s="16"/>
      <c r="C761" s="16"/>
      <c r="D761" s="16"/>
      <c r="E761" s="16"/>
      <c r="F761" s="16"/>
      <c r="G761" s="16"/>
      <c r="H761" s="108" t="s">
        <v>809</v>
      </c>
      <c r="I761" s="67"/>
      <c r="J761" s="107" t="s">
        <v>769</v>
      </c>
      <c r="K761" s="167">
        <f t="shared" ref="K761:M763" si="417">+K762</f>
        <v>4006172500</v>
      </c>
      <c r="L761" s="167">
        <f t="shared" si="417"/>
        <v>0</v>
      </c>
      <c r="M761" s="167">
        <f t="shared" si="417"/>
        <v>4006172500</v>
      </c>
    </row>
    <row r="762" spans="2:13" ht="15" x14ac:dyDescent="0.25">
      <c r="B762" s="16"/>
      <c r="C762" s="16"/>
      <c r="D762" s="16"/>
      <c r="E762" s="16"/>
      <c r="F762" s="16"/>
      <c r="G762" s="16"/>
      <c r="H762" s="108" t="s">
        <v>915</v>
      </c>
      <c r="I762" s="67"/>
      <c r="J762" s="107" t="s">
        <v>916</v>
      </c>
      <c r="K762" s="167">
        <f t="shared" si="417"/>
        <v>4006172500</v>
      </c>
      <c r="L762" s="167">
        <f t="shared" si="417"/>
        <v>0</v>
      </c>
      <c r="M762" s="167">
        <f t="shared" si="417"/>
        <v>4006172500</v>
      </c>
    </row>
    <row r="763" spans="2:13" ht="15" x14ac:dyDescent="0.25">
      <c r="B763" s="16"/>
      <c r="C763" s="16"/>
      <c r="D763" s="16"/>
      <c r="E763" s="16"/>
      <c r="F763" s="16"/>
      <c r="G763" s="16"/>
      <c r="H763" s="108" t="s">
        <v>811</v>
      </c>
      <c r="I763" s="67"/>
      <c r="J763" s="107" t="s">
        <v>917</v>
      </c>
      <c r="K763" s="167">
        <f t="shared" si="417"/>
        <v>4006172500</v>
      </c>
      <c r="L763" s="167">
        <f t="shared" si="417"/>
        <v>0</v>
      </c>
      <c r="M763" s="167">
        <f t="shared" si="417"/>
        <v>4006172500</v>
      </c>
    </row>
    <row r="764" spans="2:13" ht="15" x14ac:dyDescent="0.25">
      <c r="B764" s="16"/>
      <c r="C764" s="16"/>
      <c r="D764" s="16"/>
      <c r="E764" s="16"/>
      <c r="F764" s="16"/>
      <c r="G764" s="16"/>
      <c r="H764" s="108" t="s">
        <v>918</v>
      </c>
      <c r="I764" s="67"/>
      <c r="J764" s="107" t="s">
        <v>985</v>
      </c>
      <c r="K764" s="167">
        <f>+K765</f>
        <v>4006172500</v>
      </c>
      <c r="L764" s="167">
        <f>+L765</f>
        <v>0</v>
      </c>
      <c r="M764" s="167">
        <f>+M765</f>
        <v>4006172500</v>
      </c>
    </row>
    <row r="765" spans="2:13" x14ac:dyDescent="0.2">
      <c r="B765" s="16" t="s">
        <v>1003</v>
      </c>
      <c r="C765" s="16" t="s">
        <v>1038</v>
      </c>
      <c r="D765" s="46" t="s">
        <v>1051</v>
      </c>
      <c r="E765" s="16" t="s">
        <v>1015</v>
      </c>
      <c r="F765" s="16" t="s">
        <v>1022</v>
      </c>
      <c r="G765" s="16" t="s">
        <v>1025</v>
      </c>
      <c r="H765" s="109" t="s">
        <v>919</v>
      </c>
      <c r="I765" s="67">
        <v>400</v>
      </c>
      <c r="J765" s="68" t="s">
        <v>986</v>
      </c>
      <c r="K765" s="95">
        <v>4006172500</v>
      </c>
      <c r="L765" s="95">
        <v>0</v>
      </c>
      <c r="M765" s="126">
        <f>+Tabla13[[#This Row],[PF INICIAL]]+Tabla13[[#This Row],[AJUSTE 1]]</f>
        <v>4006172500</v>
      </c>
    </row>
    <row r="766" spans="2:13" s="13" customFormat="1" ht="15" x14ac:dyDescent="0.25">
      <c r="B766" s="24"/>
      <c r="C766" s="24"/>
      <c r="D766" s="24"/>
      <c r="E766" s="24"/>
      <c r="F766" s="24"/>
      <c r="G766" s="24"/>
      <c r="H766" s="108" t="s">
        <v>831</v>
      </c>
      <c r="I766" s="184"/>
      <c r="J766" s="107" t="s">
        <v>771</v>
      </c>
      <c r="K766" s="167">
        <f>+K767+K769</f>
        <v>200000</v>
      </c>
      <c r="L766" s="167">
        <f>+L767+L769</f>
        <v>0</v>
      </c>
      <c r="M766" s="167">
        <f>+M767+M769</f>
        <v>200000</v>
      </c>
    </row>
    <row r="767" spans="2:13" s="13" customFormat="1" ht="15" x14ac:dyDescent="0.25">
      <c r="B767" s="24"/>
      <c r="C767" s="24"/>
      <c r="D767" s="24"/>
      <c r="E767" s="24"/>
      <c r="F767" s="24"/>
      <c r="G767" s="24"/>
      <c r="H767" s="108" t="s">
        <v>855</v>
      </c>
      <c r="I767" s="184"/>
      <c r="J767" s="107" t="s">
        <v>920</v>
      </c>
      <c r="K767" s="167">
        <f>+K768</f>
        <v>0</v>
      </c>
      <c r="L767" s="167">
        <f>+L768</f>
        <v>0</v>
      </c>
      <c r="M767" s="167">
        <f>+M768</f>
        <v>0</v>
      </c>
    </row>
    <row r="768" spans="2:13" x14ac:dyDescent="0.2">
      <c r="B768" s="16" t="s">
        <v>1003</v>
      </c>
      <c r="C768" s="16" t="s">
        <v>1038</v>
      </c>
      <c r="D768" s="46" t="s">
        <v>1051</v>
      </c>
      <c r="E768" s="16" t="s">
        <v>1015</v>
      </c>
      <c r="F768" s="16" t="s">
        <v>1023</v>
      </c>
      <c r="G768" s="16" t="s">
        <v>1026</v>
      </c>
      <c r="H768" s="109" t="s">
        <v>857</v>
      </c>
      <c r="I768" s="67">
        <v>400</v>
      </c>
      <c r="J768" s="68" t="s">
        <v>921</v>
      </c>
      <c r="K768" s="95">
        <v>0</v>
      </c>
      <c r="L768" s="95">
        <v>0</v>
      </c>
      <c r="M768" s="95">
        <v>0</v>
      </c>
    </row>
    <row r="769" spans="2:13" s="13" customFormat="1" ht="15" x14ac:dyDescent="0.25">
      <c r="B769" s="24"/>
      <c r="C769" s="24"/>
      <c r="D769" s="24"/>
      <c r="E769" s="24"/>
      <c r="F769" s="24"/>
      <c r="G769" s="24"/>
      <c r="H769" s="108" t="s">
        <v>832</v>
      </c>
      <c r="I769" s="184"/>
      <c r="J769" s="107" t="s">
        <v>772</v>
      </c>
      <c r="K769" s="167">
        <f>+K770</f>
        <v>200000</v>
      </c>
      <c r="L769" s="167">
        <f>+L770</f>
        <v>0</v>
      </c>
      <c r="M769" s="167">
        <f>+M770</f>
        <v>200000</v>
      </c>
    </row>
    <row r="770" spans="2:13" x14ac:dyDescent="0.2">
      <c r="B770" s="16" t="s">
        <v>1003</v>
      </c>
      <c r="C770" s="16" t="s">
        <v>1038</v>
      </c>
      <c r="D770" s="46" t="s">
        <v>1051</v>
      </c>
      <c r="E770" s="16" t="s">
        <v>1015</v>
      </c>
      <c r="F770" s="16" t="s">
        <v>1023</v>
      </c>
      <c r="G770" s="16" t="s">
        <v>1028</v>
      </c>
      <c r="H770" s="109" t="s">
        <v>846</v>
      </c>
      <c r="I770" s="67">
        <v>400</v>
      </c>
      <c r="J770" s="68" t="s">
        <v>242</v>
      </c>
      <c r="K770" s="95">
        <v>200000</v>
      </c>
      <c r="L770" s="95">
        <v>0</v>
      </c>
      <c r="M770" s="126">
        <f>+Tabla13[[#This Row],[PF INICIAL]]+Tabla13[[#This Row],[AJUSTE 1]]</f>
        <v>200000</v>
      </c>
    </row>
    <row r="771" spans="2:13" ht="15" x14ac:dyDescent="0.25">
      <c r="B771" s="16"/>
      <c r="C771" s="16"/>
      <c r="D771" s="16"/>
      <c r="E771" s="16"/>
      <c r="F771" s="16"/>
      <c r="G771" s="16"/>
      <c r="H771" s="106" t="s">
        <v>922</v>
      </c>
      <c r="I771" s="193"/>
      <c r="J771" s="106"/>
      <c r="K771" s="167">
        <f>+K760</f>
        <v>4006372500</v>
      </c>
      <c r="L771" s="167">
        <f>+L760</f>
        <v>0</v>
      </c>
      <c r="M771" s="167">
        <f>+M760</f>
        <v>4006372500</v>
      </c>
    </row>
    <row r="772" spans="2:13" ht="15" x14ac:dyDescent="0.25">
      <c r="B772" s="16"/>
      <c r="C772" s="16"/>
      <c r="D772" s="16"/>
      <c r="E772" s="16"/>
      <c r="F772" s="16"/>
      <c r="G772" s="16"/>
      <c r="H772" s="45"/>
      <c r="I772" s="67"/>
      <c r="J772" s="107"/>
      <c r="K772" s="167"/>
      <c r="L772" s="79"/>
      <c r="M772" s="79"/>
    </row>
    <row r="773" spans="2:13" ht="15" x14ac:dyDescent="0.25">
      <c r="B773" s="16"/>
      <c r="C773" s="16"/>
      <c r="D773" s="16"/>
      <c r="E773" s="16"/>
      <c r="F773" s="16"/>
      <c r="G773" s="16"/>
      <c r="H773" s="75" t="s">
        <v>923</v>
      </c>
      <c r="I773" s="191"/>
      <c r="J773" s="75"/>
      <c r="K773" s="166"/>
      <c r="L773" s="76"/>
      <c r="M773" s="76"/>
    </row>
    <row r="774" spans="2:13" ht="15" x14ac:dyDescent="0.25">
      <c r="B774" s="16"/>
      <c r="C774" s="16"/>
      <c r="D774" s="16"/>
      <c r="E774" s="16"/>
      <c r="F774" s="16"/>
      <c r="G774" s="16"/>
      <c r="H774" s="75" t="s">
        <v>924</v>
      </c>
      <c r="I774" s="191"/>
      <c r="J774" s="75"/>
      <c r="K774" s="166"/>
      <c r="L774" s="76"/>
      <c r="M774" s="76"/>
    </row>
    <row r="775" spans="2:13" ht="15" x14ac:dyDescent="0.2">
      <c r="B775" s="16"/>
      <c r="C775" s="16"/>
      <c r="D775" s="16"/>
      <c r="E775" s="16"/>
      <c r="F775" s="16"/>
      <c r="G775" s="16"/>
      <c r="H775" s="55" t="s">
        <v>778</v>
      </c>
      <c r="I775" s="56"/>
      <c r="J775" s="32" t="s">
        <v>779</v>
      </c>
      <c r="K775" s="161"/>
      <c r="L775" s="57"/>
      <c r="M775" s="57"/>
    </row>
    <row r="776" spans="2:13" ht="15" x14ac:dyDescent="0.25">
      <c r="B776" s="16"/>
      <c r="C776" s="16"/>
      <c r="D776" s="16"/>
      <c r="E776" s="16"/>
      <c r="F776" s="16"/>
      <c r="G776" s="16"/>
      <c r="H776" s="110" t="s">
        <v>886</v>
      </c>
      <c r="I776" s="67"/>
      <c r="J776" s="111" t="s">
        <v>768</v>
      </c>
      <c r="K776" s="196">
        <f>+K777+K789</f>
        <v>0</v>
      </c>
      <c r="L776" s="196">
        <f t="shared" ref="L776:M776" si="418">+L777+L789</f>
        <v>0</v>
      </c>
      <c r="M776" s="196">
        <f t="shared" si="418"/>
        <v>0</v>
      </c>
    </row>
    <row r="777" spans="2:13" ht="15" x14ac:dyDescent="0.25">
      <c r="B777" s="16"/>
      <c r="C777" s="16"/>
      <c r="D777" s="16"/>
      <c r="E777" s="16"/>
      <c r="F777" s="16"/>
      <c r="G777" s="16"/>
      <c r="H777" s="110" t="s">
        <v>809</v>
      </c>
      <c r="I777" s="67"/>
      <c r="J777" s="111" t="s">
        <v>3</v>
      </c>
      <c r="K777" s="196">
        <f t="shared" ref="K777:K778" si="419">+K778</f>
        <v>0</v>
      </c>
      <c r="L777" s="196">
        <f t="shared" ref="L777:M779" si="420">+L778</f>
        <v>0</v>
      </c>
      <c r="M777" s="196">
        <f t="shared" si="420"/>
        <v>0</v>
      </c>
    </row>
    <row r="778" spans="2:13" ht="15" x14ac:dyDescent="0.25">
      <c r="B778" s="16"/>
      <c r="C778" s="16"/>
      <c r="D778" s="16"/>
      <c r="E778" s="16"/>
      <c r="F778" s="16"/>
      <c r="G778" s="16"/>
      <c r="H778" s="110" t="s">
        <v>810</v>
      </c>
      <c r="I778" s="67"/>
      <c r="J778" s="111" t="s">
        <v>289</v>
      </c>
      <c r="K778" s="196">
        <f t="shared" si="419"/>
        <v>0</v>
      </c>
      <c r="L778" s="196">
        <f t="shared" si="420"/>
        <v>0</v>
      </c>
      <c r="M778" s="196">
        <f t="shared" si="420"/>
        <v>0</v>
      </c>
    </row>
    <row r="779" spans="2:13" s="13" customFormat="1" ht="15" x14ac:dyDescent="0.25">
      <c r="B779" s="24"/>
      <c r="C779" s="24"/>
      <c r="D779" s="24"/>
      <c r="E779" s="24"/>
      <c r="F779" s="24"/>
      <c r="G779" s="24"/>
      <c r="H779" s="110" t="s">
        <v>811</v>
      </c>
      <c r="I779" s="184"/>
      <c r="J779" s="111" t="s">
        <v>112</v>
      </c>
      <c r="K779" s="196">
        <f>+K780</f>
        <v>0</v>
      </c>
      <c r="L779" s="196">
        <f t="shared" si="420"/>
        <v>0</v>
      </c>
      <c r="M779" s="196">
        <f t="shared" si="420"/>
        <v>0</v>
      </c>
    </row>
    <row r="780" spans="2:13" x14ac:dyDescent="0.2">
      <c r="B780" s="16"/>
      <c r="C780" s="16"/>
      <c r="D780" s="16"/>
      <c r="E780" s="16"/>
      <c r="F780" s="16"/>
      <c r="G780" s="16"/>
      <c r="H780" s="113" t="s">
        <v>813</v>
      </c>
      <c r="I780" s="67"/>
      <c r="J780" s="114" t="s">
        <v>114</v>
      </c>
      <c r="K780" s="176">
        <f>+K781+K782</f>
        <v>0</v>
      </c>
      <c r="L780" s="176">
        <f t="shared" ref="L780:M780" si="421">+L781+L782</f>
        <v>0</v>
      </c>
      <c r="M780" s="176">
        <f t="shared" si="421"/>
        <v>0</v>
      </c>
    </row>
    <row r="781" spans="2:13" ht="28.5" x14ac:dyDescent="0.2">
      <c r="B781" s="16" t="s">
        <v>1003</v>
      </c>
      <c r="C781" s="16" t="s">
        <v>1039</v>
      </c>
      <c r="D781" s="46" t="s">
        <v>1051</v>
      </c>
      <c r="E781" s="16" t="s">
        <v>1014</v>
      </c>
      <c r="F781" s="16" t="s">
        <v>1022</v>
      </c>
      <c r="G781" s="16" t="s">
        <v>1025</v>
      </c>
      <c r="H781" s="113" t="s">
        <v>925</v>
      </c>
      <c r="I781" s="67">
        <v>600</v>
      </c>
      <c r="J781" s="114" t="s">
        <v>987</v>
      </c>
      <c r="K781" s="112">
        <v>0</v>
      </c>
      <c r="L781" s="112">
        <v>0</v>
      </c>
      <c r="M781" s="126">
        <f>+Tabla13[[#This Row],[PF INICIAL]]+Tabla13[[#This Row],[AJUSTE 1]]</f>
        <v>0</v>
      </c>
    </row>
    <row r="782" spans="2:13" x14ac:dyDescent="0.2">
      <c r="B782" s="16" t="s">
        <v>1003</v>
      </c>
      <c r="C782" s="16" t="s">
        <v>1039</v>
      </c>
      <c r="D782" s="46" t="s">
        <v>1051</v>
      </c>
      <c r="E782" s="16" t="s">
        <v>1014</v>
      </c>
      <c r="F782" s="16" t="s">
        <v>1022</v>
      </c>
      <c r="G782" s="16" t="s">
        <v>1025</v>
      </c>
      <c r="H782" s="113" t="s">
        <v>926</v>
      </c>
      <c r="I782" s="67">
        <v>600</v>
      </c>
      <c r="J782" s="114" t="s">
        <v>927</v>
      </c>
      <c r="K782" s="112">
        <v>0</v>
      </c>
      <c r="L782" s="112">
        <v>0</v>
      </c>
      <c r="M782" s="126">
        <f>+Tabla13[[#This Row],[PF INICIAL]]+Tabla13[[#This Row],[AJUSTE 1]]</f>
        <v>0</v>
      </c>
    </row>
    <row r="783" spans="2:13" s="13" customFormat="1" ht="15" x14ac:dyDescent="0.25">
      <c r="B783" s="24"/>
      <c r="C783" s="24"/>
      <c r="D783" s="24"/>
      <c r="E783" s="24"/>
      <c r="F783" s="24"/>
      <c r="G783" s="24"/>
      <c r="H783" s="110" t="s">
        <v>817</v>
      </c>
      <c r="I783" s="184"/>
      <c r="J783" s="111" t="s">
        <v>928</v>
      </c>
      <c r="K783" s="196">
        <f>+K784</f>
        <v>0</v>
      </c>
      <c r="L783" s="196">
        <f t="shared" ref="L783:M785" si="422">+L784</f>
        <v>0</v>
      </c>
      <c r="M783" s="196">
        <f t="shared" si="422"/>
        <v>0</v>
      </c>
    </row>
    <row r="784" spans="2:13" x14ac:dyDescent="0.2">
      <c r="B784" s="16"/>
      <c r="C784" s="16"/>
      <c r="D784" s="16"/>
      <c r="E784" s="16"/>
      <c r="F784" s="16"/>
      <c r="G784" s="16"/>
      <c r="H784" s="113" t="s">
        <v>819</v>
      </c>
      <c r="I784" s="67"/>
      <c r="J784" s="114" t="s">
        <v>181</v>
      </c>
      <c r="K784" s="176">
        <f>+K785</f>
        <v>0</v>
      </c>
      <c r="L784" s="176">
        <f t="shared" si="422"/>
        <v>0</v>
      </c>
      <c r="M784" s="176">
        <f t="shared" si="422"/>
        <v>0</v>
      </c>
    </row>
    <row r="785" spans="2:13" x14ac:dyDescent="0.2">
      <c r="B785" s="16"/>
      <c r="C785" s="16"/>
      <c r="D785" s="16"/>
      <c r="E785" s="16"/>
      <c r="F785" s="16"/>
      <c r="G785" s="16"/>
      <c r="H785" s="113" t="s">
        <v>821</v>
      </c>
      <c r="I785" s="67"/>
      <c r="J785" s="114" t="s">
        <v>421</v>
      </c>
      <c r="K785" s="176">
        <f>+K786</f>
        <v>0</v>
      </c>
      <c r="L785" s="176">
        <f t="shared" si="422"/>
        <v>0</v>
      </c>
      <c r="M785" s="176">
        <f t="shared" si="422"/>
        <v>0</v>
      </c>
    </row>
    <row r="786" spans="2:13" x14ac:dyDescent="0.2">
      <c r="B786" s="16"/>
      <c r="C786" s="16"/>
      <c r="D786" s="16"/>
      <c r="E786" s="16"/>
      <c r="F786" s="16"/>
      <c r="G786" s="16"/>
      <c r="H786" s="113" t="s">
        <v>823</v>
      </c>
      <c r="I786" s="67"/>
      <c r="J786" s="114" t="s">
        <v>183</v>
      </c>
      <c r="K786" s="176">
        <v>0</v>
      </c>
      <c r="L786" s="176">
        <v>0</v>
      </c>
      <c r="M786" s="176">
        <v>0</v>
      </c>
    </row>
    <row r="787" spans="2:13" x14ac:dyDescent="0.2">
      <c r="B787" s="16" t="s">
        <v>1003</v>
      </c>
      <c r="C787" s="16" t="s">
        <v>1039</v>
      </c>
      <c r="D787" s="46" t="s">
        <v>1051</v>
      </c>
      <c r="E787" s="16" t="s">
        <v>1014</v>
      </c>
      <c r="F787" s="16" t="s">
        <v>1022</v>
      </c>
      <c r="G787" s="16" t="s">
        <v>1025</v>
      </c>
      <c r="H787" s="113" t="s">
        <v>929</v>
      </c>
      <c r="I787" s="67">
        <v>20</v>
      </c>
      <c r="J787" s="114" t="s">
        <v>988</v>
      </c>
      <c r="K787" s="112">
        <v>0</v>
      </c>
      <c r="L787" s="112">
        <v>0</v>
      </c>
      <c r="M787" s="126">
        <f>+Tabla13[[#This Row],[PF INICIAL]]+Tabla13[[#This Row],[AJUSTE 1]]</f>
        <v>0</v>
      </c>
    </row>
    <row r="788" spans="2:13" ht="13.5" customHeight="1" x14ac:dyDescent="0.2">
      <c r="B788" s="16" t="s">
        <v>1003</v>
      </c>
      <c r="C788" s="16" t="s">
        <v>1039</v>
      </c>
      <c r="D788" s="46" t="s">
        <v>1051</v>
      </c>
      <c r="E788" s="16" t="s">
        <v>1014</v>
      </c>
      <c r="F788" s="16" t="s">
        <v>1022</v>
      </c>
      <c r="G788" s="16" t="s">
        <v>1025</v>
      </c>
      <c r="H788" s="113" t="s">
        <v>930</v>
      </c>
      <c r="I788" s="67">
        <v>20</v>
      </c>
      <c r="J788" s="114" t="s">
        <v>990</v>
      </c>
      <c r="K788" s="112">
        <v>0</v>
      </c>
      <c r="L788" s="112">
        <v>0</v>
      </c>
      <c r="M788" s="126">
        <f>+Tabla13[[#This Row],[PF INICIAL]]+Tabla13[[#This Row],[AJUSTE 1]]</f>
        <v>0</v>
      </c>
    </row>
    <row r="789" spans="2:13" s="13" customFormat="1" ht="15" x14ac:dyDescent="0.25">
      <c r="B789" s="24"/>
      <c r="C789" s="24"/>
      <c r="D789" s="24"/>
      <c r="E789" s="24"/>
      <c r="F789" s="24"/>
      <c r="G789" s="24"/>
      <c r="H789" s="110" t="s">
        <v>831</v>
      </c>
      <c r="I789" s="184"/>
      <c r="J789" s="111" t="s">
        <v>931</v>
      </c>
      <c r="K789" s="196">
        <f>+K790+K792+K794</f>
        <v>0</v>
      </c>
      <c r="L789" s="196">
        <f t="shared" ref="L789:M789" si="423">+L790+L792+L794</f>
        <v>0</v>
      </c>
      <c r="M789" s="196">
        <f t="shared" si="423"/>
        <v>0</v>
      </c>
    </row>
    <row r="790" spans="2:13" s="13" customFormat="1" ht="15" x14ac:dyDescent="0.25">
      <c r="B790" s="24"/>
      <c r="C790" s="24"/>
      <c r="D790" s="24"/>
      <c r="E790" s="24"/>
      <c r="F790" s="24"/>
      <c r="G790" s="24"/>
      <c r="H790" s="110" t="s">
        <v>832</v>
      </c>
      <c r="I790" s="184"/>
      <c r="J790" s="111" t="s">
        <v>932</v>
      </c>
      <c r="K790" s="196">
        <f>+K791</f>
        <v>0</v>
      </c>
      <c r="L790" s="196">
        <f t="shared" ref="L790:M790" si="424">+L791</f>
        <v>0</v>
      </c>
      <c r="M790" s="196">
        <f t="shared" si="424"/>
        <v>0</v>
      </c>
    </row>
    <row r="791" spans="2:13" x14ac:dyDescent="0.2">
      <c r="B791" s="16" t="s">
        <v>1003</v>
      </c>
      <c r="C791" s="16" t="s">
        <v>1039</v>
      </c>
      <c r="D791" s="46" t="s">
        <v>1051</v>
      </c>
      <c r="E791" s="16" t="s">
        <v>1014</v>
      </c>
      <c r="F791" s="16" t="s">
        <v>1023</v>
      </c>
      <c r="G791" s="16" t="s">
        <v>1028</v>
      </c>
      <c r="H791" s="113" t="s">
        <v>846</v>
      </c>
      <c r="I791" s="67">
        <v>20</v>
      </c>
      <c r="J791" s="114" t="s">
        <v>242</v>
      </c>
      <c r="K791" s="112">
        <v>0</v>
      </c>
      <c r="L791" s="112">
        <v>0</v>
      </c>
      <c r="M791" s="126">
        <f>+Tabla13[[#This Row],[PF INICIAL]]+Tabla13[[#This Row],[AJUSTE 1]]</f>
        <v>0</v>
      </c>
    </row>
    <row r="792" spans="2:13" s="13" customFormat="1" ht="15" x14ac:dyDescent="0.25">
      <c r="B792" s="24"/>
      <c r="C792" s="24"/>
      <c r="D792" s="24"/>
      <c r="E792" s="24"/>
      <c r="F792" s="24"/>
      <c r="G792" s="24"/>
      <c r="H792" s="110" t="s">
        <v>840</v>
      </c>
      <c r="I792" s="184"/>
      <c r="J792" s="111" t="s">
        <v>933</v>
      </c>
      <c r="K792" s="196">
        <f>+K793</f>
        <v>0</v>
      </c>
      <c r="L792" s="196">
        <f t="shared" ref="L792:M792" si="425">+L793</f>
        <v>0</v>
      </c>
      <c r="M792" s="196">
        <f t="shared" si="425"/>
        <v>0</v>
      </c>
    </row>
    <row r="793" spans="2:13" x14ac:dyDescent="0.2">
      <c r="B793" s="16" t="s">
        <v>1003</v>
      </c>
      <c r="C793" s="16" t="s">
        <v>1039</v>
      </c>
      <c r="D793" s="46" t="s">
        <v>1051</v>
      </c>
      <c r="E793" s="16" t="s">
        <v>1014</v>
      </c>
      <c r="F793" s="16" t="s">
        <v>1023</v>
      </c>
      <c r="G793" s="16" t="s">
        <v>1030</v>
      </c>
      <c r="H793" s="113" t="s">
        <v>844</v>
      </c>
      <c r="I793" s="67">
        <v>20</v>
      </c>
      <c r="J793" s="114" t="s">
        <v>845</v>
      </c>
      <c r="K793" s="112">
        <v>0</v>
      </c>
      <c r="L793" s="112">
        <v>0</v>
      </c>
      <c r="M793" s="126">
        <f>+Tabla13[[#This Row],[PF INICIAL]]+Tabla13[[#This Row],[AJUSTE 1]]</f>
        <v>0</v>
      </c>
    </row>
    <row r="794" spans="2:13" s="13" customFormat="1" ht="15" x14ac:dyDescent="0.25">
      <c r="B794" s="24"/>
      <c r="C794" s="24"/>
      <c r="D794" s="24"/>
      <c r="E794" s="24"/>
      <c r="F794" s="24"/>
      <c r="G794" s="24"/>
      <c r="H794" s="110" t="s">
        <v>880</v>
      </c>
      <c r="I794" s="184"/>
      <c r="J794" s="111" t="s">
        <v>273</v>
      </c>
      <c r="K794" s="196">
        <f>+K795</f>
        <v>0</v>
      </c>
      <c r="L794" s="196">
        <f t="shared" ref="L794:M795" si="426">+L795</f>
        <v>0</v>
      </c>
      <c r="M794" s="196">
        <f t="shared" si="426"/>
        <v>0</v>
      </c>
    </row>
    <row r="795" spans="2:13" x14ac:dyDescent="0.2">
      <c r="B795" s="16"/>
      <c r="C795" s="16"/>
      <c r="D795" s="16"/>
      <c r="E795" s="16"/>
      <c r="F795" s="16"/>
      <c r="G795" s="16"/>
      <c r="H795" s="113" t="s">
        <v>881</v>
      </c>
      <c r="I795" s="67"/>
      <c r="J795" s="114" t="s">
        <v>275</v>
      </c>
      <c r="K795" s="176">
        <f>+K796</f>
        <v>0</v>
      </c>
      <c r="L795" s="176">
        <f t="shared" si="426"/>
        <v>0</v>
      </c>
      <c r="M795" s="176">
        <f t="shared" si="426"/>
        <v>0</v>
      </c>
    </row>
    <row r="796" spans="2:13" x14ac:dyDescent="0.2">
      <c r="B796" s="16" t="s">
        <v>1003</v>
      </c>
      <c r="C796" s="16" t="s">
        <v>1039</v>
      </c>
      <c r="D796" s="46" t="s">
        <v>1051</v>
      </c>
      <c r="E796" s="16" t="s">
        <v>1014</v>
      </c>
      <c r="F796" s="16" t="s">
        <v>1023</v>
      </c>
      <c r="G796" s="16" t="s">
        <v>1031</v>
      </c>
      <c r="H796" s="113" t="s">
        <v>882</v>
      </c>
      <c r="I796" s="67">
        <v>20</v>
      </c>
      <c r="J796" s="114" t="s">
        <v>278</v>
      </c>
      <c r="K796" s="112">
        <v>0</v>
      </c>
      <c r="L796" s="112">
        <v>0</v>
      </c>
      <c r="M796" s="126">
        <f>+Tabla13[[#This Row],[PF INICIAL]]+Tabla13[[#This Row],[AJUSTE 1]]</f>
        <v>0</v>
      </c>
    </row>
    <row r="797" spans="2:13" x14ac:dyDescent="0.2">
      <c r="B797" s="16"/>
      <c r="C797" s="16"/>
      <c r="D797" s="16"/>
      <c r="E797" s="16"/>
      <c r="F797" s="16"/>
      <c r="G797" s="16"/>
      <c r="H797" s="113"/>
      <c r="I797" s="67"/>
      <c r="J797" s="114"/>
      <c r="K797" s="176"/>
      <c r="L797" s="176"/>
      <c r="M797" s="176"/>
    </row>
    <row r="798" spans="2:13" ht="15" x14ac:dyDescent="0.25">
      <c r="B798" s="16"/>
      <c r="C798" s="16"/>
      <c r="D798" s="16"/>
      <c r="E798" s="16"/>
      <c r="F798" s="16"/>
      <c r="G798" s="16"/>
      <c r="H798" s="106" t="s">
        <v>934</v>
      </c>
      <c r="I798" s="193"/>
      <c r="J798" s="106"/>
      <c r="K798" s="167">
        <f>+K776</f>
        <v>0</v>
      </c>
      <c r="L798" s="167">
        <f t="shared" ref="L798" si="427">+L776</f>
        <v>0</v>
      </c>
      <c r="M798" s="167">
        <f t="shared" ref="M798" si="428">+M776</f>
        <v>0</v>
      </c>
    </row>
    <row r="799" spans="2:13" x14ac:dyDescent="0.2">
      <c r="B799" s="16"/>
      <c r="C799" s="16"/>
      <c r="D799" s="16"/>
      <c r="E799" s="16"/>
      <c r="F799" s="16"/>
      <c r="G799" s="16"/>
      <c r="H799" s="45"/>
      <c r="I799" s="67"/>
      <c r="J799" s="68"/>
      <c r="K799" s="173"/>
      <c r="L799" s="95"/>
      <c r="M799" s="95"/>
    </row>
    <row r="800" spans="2:13" ht="15" x14ac:dyDescent="0.25">
      <c r="B800" s="16"/>
      <c r="C800" s="16"/>
      <c r="D800" s="16"/>
      <c r="E800" s="16"/>
      <c r="F800" s="16"/>
      <c r="G800" s="16"/>
      <c r="H800" s="75" t="s">
        <v>935</v>
      </c>
      <c r="I800" s="191"/>
      <c r="J800" s="75"/>
      <c r="K800" s="166"/>
      <c r="L800" s="76"/>
      <c r="M800" s="76"/>
    </row>
    <row r="801" spans="2:13" ht="15" x14ac:dyDescent="0.25">
      <c r="B801" s="16"/>
      <c r="C801" s="16"/>
      <c r="D801" s="16"/>
      <c r="E801" s="16"/>
      <c r="F801" s="16"/>
      <c r="G801" s="16"/>
      <c r="H801" s="75" t="s">
        <v>936</v>
      </c>
      <c r="I801" s="191"/>
      <c r="J801" s="75"/>
      <c r="K801" s="166"/>
      <c r="L801" s="76"/>
      <c r="M801" s="76"/>
    </row>
    <row r="802" spans="2:13" ht="15" x14ac:dyDescent="0.2">
      <c r="B802" s="16"/>
      <c r="C802" s="16"/>
      <c r="D802" s="16"/>
      <c r="E802" s="16"/>
      <c r="F802" s="16"/>
      <c r="G802" s="16"/>
      <c r="H802" s="55" t="s">
        <v>937</v>
      </c>
      <c r="I802" s="56"/>
      <c r="J802" s="32" t="s">
        <v>938</v>
      </c>
      <c r="K802" s="161"/>
      <c r="L802" s="57"/>
      <c r="M802" s="57"/>
    </row>
    <row r="803" spans="2:13" ht="15" x14ac:dyDescent="0.2">
      <c r="B803" s="16"/>
      <c r="C803" s="16"/>
      <c r="D803" s="16"/>
      <c r="E803" s="16"/>
      <c r="F803" s="16"/>
      <c r="G803" s="16"/>
      <c r="H803" s="17" t="s">
        <v>939</v>
      </c>
      <c r="I803" s="80"/>
      <c r="J803" s="44" t="s">
        <v>914</v>
      </c>
      <c r="K803" s="177">
        <f>+K804+K811</f>
        <v>53826083191</v>
      </c>
      <c r="L803" s="177">
        <f>+L804+L811</f>
        <v>0</v>
      </c>
      <c r="M803" s="177">
        <f>+M804+M811</f>
        <v>53826083191</v>
      </c>
    </row>
    <row r="804" spans="2:13" ht="15" x14ac:dyDescent="0.2">
      <c r="B804" s="16"/>
      <c r="C804" s="16"/>
      <c r="D804" s="16"/>
      <c r="E804" s="16"/>
      <c r="F804" s="16"/>
      <c r="G804" s="16"/>
      <c r="H804" s="17" t="s">
        <v>940</v>
      </c>
      <c r="I804" s="80"/>
      <c r="J804" s="44" t="s">
        <v>769</v>
      </c>
      <c r="K804" s="178">
        <f t="shared" ref="K804:M807" si="429">+K805</f>
        <v>0</v>
      </c>
      <c r="L804" s="178">
        <f t="shared" si="429"/>
        <v>0</v>
      </c>
      <c r="M804" s="178">
        <f t="shared" si="429"/>
        <v>0</v>
      </c>
    </row>
    <row r="805" spans="2:13" ht="15" x14ac:dyDescent="0.2">
      <c r="B805" s="16"/>
      <c r="C805" s="16"/>
      <c r="D805" s="16"/>
      <c r="E805" s="16"/>
      <c r="F805" s="16"/>
      <c r="G805" s="16"/>
      <c r="H805" s="17" t="s">
        <v>941</v>
      </c>
      <c r="I805" s="80"/>
      <c r="J805" s="44" t="s">
        <v>770</v>
      </c>
      <c r="K805" s="178">
        <f t="shared" si="429"/>
        <v>0</v>
      </c>
      <c r="L805" s="178">
        <f t="shared" si="429"/>
        <v>0</v>
      </c>
      <c r="M805" s="178">
        <f t="shared" si="429"/>
        <v>0</v>
      </c>
    </row>
    <row r="806" spans="2:13" ht="15" x14ac:dyDescent="0.2">
      <c r="B806" s="16"/>
      <c r="C806" s="16"/>
      <c r="D806" s="16"/>
      <c r="E806" s="16"/>
      <c r="F806" s="16"/>
      <c r="G806" s="16"/>
      <c r="H806" s="17" t="s">
        <v>942</v>
      </c>
      <c r="I806" s="80"/>
      <c r="J806" s="44" t="s">
        <v>818</v>
      </c>
      <c r="K806" s="178">
        <f t="shared" si="429"/>
        <v>0</v>
      </c>
      <c r="L806" s="178">
        <f t="shared" si="429"/>
        <v>0</v>
      </c>
      <c r="M806" s="178">
        <f t="shared" si="429"/>
        <v>0</v>
      </c>
    </row>
    <row r="807" spans="2:13" ht="30" x14ac:dyDescent="0.2">
      <c r="B807" s="16"/>
      <c r="C807" s="16"/>
      <c r="D807" s="16"/>
      <c r="E807" s="16"/>
      <c r="F807" s="16"/>
      <c r="G807" s="16"/>
      <c r="H807" s="17" t="s">
        <v>943</v>
      </c>
      <c r="I807" s="80"/>
      <c r="J807" s="117" t="s">
        <v>944</v>
      </c>
      <c r="K807" s="178">
        <f t="shared" si="429"/>
        <v>0</v>
      </c>
      <c r="L807" s="178">
        <f t="shared" si="429"/>
        <v>0</v>
      </c>
      <c r="M807" s="178">
        <f t="shared" si="429"/>
        <v>0</v>
      </c>
    </row>
    <row r="808" spans="2:13" x14ac:dyDescent="0.2">
      <c r="B808" s="16"/>
      <c r="C808" s="16"/>
      <c r="D808" s="16"/>
      <c r="E808" s="16"/>
      <c r="F808" s="16"/>
      <c r="G808" s="16"/>
      <c r="H808" s="21" t="s">
        <v>945</v>
      </c>
      <c r="I808" s="80"/>
      <c r="J808" s="118" t="s">
        <v>946</v>
      </c>
      <c r="K808" s="179">
        <f>+K809+K810</f>
        <v>0</v>
      </c>
      <c r="L808" s="179">
        <f>+L809+L810</f>
        <v>0</v>
      </c>
      <c r="M808" s="179">
        <f>+M809+M810</f>
        <v>0</v>
      </c>
    </row>
    <row r="809" spans="2:13" ht="16.5" x14ac:dyDescent="0.2">
      <c r="B809" s="16" t="s">
        <v>1003</v>
      </c>
      <c r="C809" s="16" t="s">
        <v>1012</v>
      </c>
      <c r="D809" s="46" t="s">
        <v>1051</v>
      </c>
      <c r="E809" s="16" t="s">
        <v>1015</v>
      </c>
      <c r="F809" s="16" t="s">
        <v>1022</v>
      </c>
      <c r="G809" s="16" t="s">
        <v>1025</v>
      </c>
      <c r="H809" s="21" t="s">
        <v>947</v>
      </c>
      <c r="I809" s="67">
        <v>3</v>
      </c>
      <c r="J809" s="118" t="s">
        <v>10</v>
      </c>
      <c r="K809" s="120">
        <v>0</v>
      </c>
      <c r="L809" s="120">
        <v>0</v>
      </c>
      <c r="M809" s="126">
        <f>+Tabla13[[#This Row],[PF INICIAL]]+Tabla13[[#This Row],[AJUSTE 1]]</f>
        <v>0</v>
      </c>
    </row>
    <row r="810" spans="2:13" ht="16.5" x14ac:dyDescent="0.2">
      <c r="B810" s="16" t="s">
        <v>1003</v>
      </c>
      <c r="C810" s="16" t="s">
        <v>1012</v>
      </c>
      <c r="D810" s="46" t="s">
        <v>1051</v>
      </c>
      <c r="E810" s="16" t="s">
        <v>1014</v>
      </c>
      <c r="F810" s="16" t="s">
        <v>1022</v>
      </c>
      <c r="G810" s="16" t="s">
        <v>1025</v>
      </c>
      <c r="H810" s="21" t="s">
        <v>948</v>
      </c>
      <c r="I810" s="67">
        <v>20</v>
      </c>
      <c r="J810" s="118" t="s">
        <v>10</v>
      </c>
      <c r="K810" s="120">
        <v>0</v>
      </c>
      <c r="L810" s="120">
        <v>0</v>
      </c>
      <c r="M810" s="126">
        <f>+Tabla13[[#This Row],[PF INICIAL]]+Tabla13[[#This Row],[AJUSTE 1]]</f>
        <v>0</v>
      </c>
    </row>
    <row r="811" spans="2:13" s="13" customFormat="1" ht="15" x14ac:dyDescent="0.25">
      <c r="B811" s="16"/>
      <c r="C811" s="16"/>
      <c r="D811" s="16"/>
      <c r="E811" s="16"/>
      <c r="F811" s="16"/>
      <c r="G811" s="24"/>
      <c r="H811" s="17" t="s">
        <v>949</v>
      </c>
      <c r="I811" s="80"/>
      <c r="J811" s="17" t="s">
        <v>771</v>
      </c>
      <c r="K811" s="167">
        <f t="shared" ref="K811:M813" si="430">+K812</f>
        <v>53826083191</v>
      </c>
      <c r="L811" s="167">
        <f t="shared" si="430"/>
        <v>0</v>
      </c>
      <c r="M811" s="167">
        <f t="shared" si="430"/>
        <v>53826083191</v>
      </c>
    </row>
    <row r="812" spans="2:13" s="13" customFormat="1" ht="15" x14ac:dyDescent="0.25">
      <c r="B812" s="24"/>
      <c r="C812" s="24"/>
      <c r="D812" s="24"/>
      <c r="E812" s="24"/>
      <c r="F812" s="24"/>
      <c r="G812" s="24"/>
      <c r="H812" s="17" t="s">
        <v>950</v>
      </c>
      <c r="I812" s="80"/>
      <c r="J812" s="17" t="s">
        <v>583</v>
      </c>
      <c r="K812" s="167">
        <f t="shared" si="430"/>
        <v>53826083191</v>
      </c>
      <c r="L812" s="167">
        <f t="shared" si="430"/>
        <v>0</v>
      </c>
      <c r="M812" s="167">
        <f t="shared" si="430"/>
        <v>53826083191</v>
      </c>
    </row>
    <row r="813" spans="2:13" s="13" customFormat="1" ht="15" x14ac:dyDescent="0.25">
      <c r="B813" s="24"/>
      <c r="C813" s="24"/>
      <c r="D813" s="24"/>
      <c r="E813" s="24"/>
      <c r="F813" s="24"/>
      <c r="G813" s="24"/>
      <c r="H813" s="17" t="s">
        <v>951</v>
      </c>
      <c r="I813" s="80"/>
      <c r="J813" s="17" t="s">
        <v>837</v>
      </c>
      <c r="K813" s="167">
        <f t="shared" si="430"/>
        <v>53826083191</v>
      </c>
      <c r="L813" s="167">
        <f t="shared" si="430"/>
        <v>0</v>
      </c>
      <c r="M813" s="167">
        <f t="shared" si="430"/>
        <v>53826083191</v>
      </c>
    </row>
    <row r="814" spans="2:13" s="13" customFormat="1" ht="15" x14ac:dyDescent="0.25">
      <c r="B814" s="24"/>
      <c r="C814" s="24"/>
      <c r="D814" s="24"/>
      <c r="E814" s="24"/>
      <c r="F814" s="24"/>
      <c r="G814" s="24"/>
      <c r="H814" s="17" t="s">
        <v>952</v>
      </c>
      <c r="I814" s="80"/>
      <c r="J814" s="121" t="s">
        <v>953</v>
      </c>
      <c r="K814" s="167">
        <f>SUM(K815:K822)</f>
        <v>53826083191</v>
      </c>
      <c r="L814" s="167">
        <f>SUM(L815:L822)</f>
        <v>0</v>
      </c>
      <c r="M814" s="167">
        <f>SUM(M815:M822)</f>
        <v>53826083191</v>
      </c>
    </row>
    <row r="815" spans="2:13" s="13" customFormat="1" ht="15" x14ac:dyDescent="0.25">
      <c r="B815" s="16" t="s">
        <v>1003</v>
      </c>
      <c r="C815" s="16" t="s">
        <v>1012</v>
      </c>
      <c r="D815" s="46" t="s">
        <v>1051</v>
      </c>
      <c r="E815" s="16" t="s">
        <v>1015</v>
      </c>
      <c r="F815" s="16" t="s">
        <v>1023</v>
      </c>
      <c r="G815" s="16" t="s">
        <v>1035</v>
      </c>
      <c r="H815" s="21" t="s">
        <v>954</v>
      </c>
      <c r="I815" s="80">
        <v>4</v>
      </c>
      <c r="J815" s="122" t="s">
        <v>955</v>
      </c>
      <c r="K815" s="79">
        <v>0</v>
      </c>
      <c r="L815" s="79">
        <v>0</v>
      </c>
      <c r="M815" s="126">
        <f>+Tabla13[[#This Row],[PF INICIAL]]+Tabla13[[#This Row],[AJUSTE 1]]</f>
        <v>0</v>
      </c>
    </row>
    <row r="816" spans="2:13" x14ac:dyDescent="0.2">
      <c r="B816" s="16" t="s">
        <v>1003</v>
      </c>
      <c r="C816" s="16" t="s">
        <v>1012</v>
      </c>
      <c r="D816" s="46" t="s">
        <v>1051</v>
      </c>
      <c r="E816" s="16" t="s">
        <v>1015</v>
      </c>
      <c r="F816" s="16" t="s">
        <v>1023</v>
      </c>
      <c r="G816" s="16" t="s">
        <v>1035</v>
      </c>
      <c r="H816" s="21" t="s">
        <v>956</v>
      </c>
      <c r="I816" s="80">
        <v>5</v>
      </c>
      <c r="J816" s="122" t="s">
        <v>955</v>
      </c>
      <c r="K816" s="95">
        <v>0</v>
      </c>
      <c r="L816" s="95">
        <v>0</v>
      </c>
      <c r="M816" s="126">
        <f>+Tabla13[[#This Row],[PF INICIAL]]+Tabla13[[#This Row],[AJUSTE 1]]</f>
        <v>0</v>
      </c>
    </row>
    <row r="817" spans="2:13" x14ac:dyDescent="0.2">
      <c r="B817" s="16" t="s">
        <v>1003</v>
      </c>
      <c r="C817" s="16" t="s">
        <v>1012</v>
      </c>
      <c r="D817" s="46" t="s">
        <v>1051</v>
      </c>
      <c r="E817" s="16" t="s">
        <v>1015</v>
      </c>
      <c r="F817" s="16" t="s">
        <v>1023</v>
      </c>
      <c r="G817" s="16" t="s">
        <v>1035</v>
      </c>
      <c r="H817" s="21" t="s">
        <v>957</v>
      </c>
      <c r="I817" s="80">
        <v>8</v>
      </c>
      <c r="J817" s="122" t="s">
        <v>955</v>
      </c>
      <c r="K817" s="95">
        <v>0</v>
      </c>
      <c r="L817" s="95">
        <v>0</v>
      </c>
      <c r="M817" s="126">
        <f>+Tabla13[[#This Row],[PF INICIAL]]+Tabla13[[#This Row],[AJUSTE 1]]</f>
        <v>0</v>
      </c>
    </row>
    <row r="818" spans="2:13" x14ac:dyDescent="0.2">
      <c r="B818" s="16" t="s">
        <v>1003</v>
      </c>
      <c r="C818" s="16" t="s">
        <v>1012</v>
      </c>
      <c r="D818" s="46" t="s">
        <v>1051</v>
      </c>
      <c r="E818" s="16" t="s">
        <v>1014</v>
      </c>
      <c r="F818" s="16" t="s">
        <v>1023</v>
      </c>
      <c r="G818" s="16" t="s">
        <v>1035</v>
      </c>
      <c r="H818" s="21" t="s">
        <v>958</v>
      </c>
      <c r="I818" s="80">
        <v>20</v>
      </c>
      <c r="J818" s="122" t="s">
        <v>955</v>
      </c>
      <c r="K818" s="95">
        <v>0</v>
      </c>
      <c r="L818" s="95">
        <v>0</v>
      </c>
      <c r="M818" s="126">
        <f>+Tabla13[[#This Row],[PF INICIAL]]+Tabla13[[#This Row],[AJUSTE 1]]</f>
        <v>0</v>
      </c>
    </row>
    <row r="819" spans="2:13" x14ac:dyDescent="0.2">
      <c r="B819" s="16" t="s">
        <v>1003</v>
      </c>
      <c r="C819" s="16" t="s">
        <v>1012</v>
      </c>
      <c r="D819" s="46" t="s">
        <v>1051</v>
      </c>
      <c r="E819" s="16" t="s">
        <v>1015</v>
      </c>
      <c r="F819" s="16" t="s">
        <v>1023</v>
      </c>
      <c r="G819" s="16" t="s">
        <v>1035</v>
      </c>
      <c r="H819" s="21" t="s">
        <v>959</v>
      </c>
      <c r="I819" s="80">
        <v>23</v>
      </c>
      <c r="J819" s="122" t="s">
        <v>955</v>
      </c>
      <c r="K819" s="95">
        <v>0</v>
      </c>
      <c r="L819" s="95">
        <v>0</v>
      </c>
      <c r="M819" s="126">
        <f>+Tabla13[[#This Row],[PF INICIAL]]+Tabla13[[#This Row],[AJUSTE 1]]</f>
        <v>0</v>
      </c>
    </row>
    <row r="820" spans="2:13" x14ac:dyDescent="0.2">
      <c r="B820" s="16" t="s">
        <v>1003</v>
      </c>
      <c r="C820" s="16" t="s">
        <v>1012</v>
      </c>
      <c r="D820" s="46" t="s">
        <v>1051</v>
      </c>
      <c r="E820" s="16" t="s">
        <v>1015</v>
      </c>
      <c r="F820" s="16" t="s">
        <v>1023</v>
      </c>
      <c r="G820" s="16" t="s">
        <v>1035</v>
      </c>
      <c r="H820" s="21" t="s">
        <v>983</v>
      </c>
      <c r="I820" s="80">
        <v>23</v>
      </c>
      <c r="J820" s="122" t="s">
        <v>955</v>
      </c>
      <c r="K820" s="95">
        <v>0</v>
      </c>
      <c r="L820" s="95">
        <v>0</v>
      </c>
      <c r="M820" s="126">
        <f>+Tabla13[[#This Row],[PF INICIAL]]+Tabla13[[#This Row],[AJUSTE 1]]</f>
        <v>0</v>
      </c>
    </row>
    <row r="821" spans="2:13" x14ac:dyDescent="0.2">
      <c r="B821" s="16" t="s">
        <v>1003</v>
      </c>
      <c r="C821" s="16" t="s">
        <v>1012</v>
      </c>
      <c r="D821" s="46" t="s">
        <v>1051</v>
      </c>
      <c r="E821" s="16" t="s">
        <v>1015</v>
      </c>
      <c r="F821" s="16" t="s">
        <v>1023</v>
      </c>
      <c r="G821" s="16" t="s">
        <v>1035</v>
      </c>
      <c r="H821" s="21" t="s">
        <v>960</v>
      </c>
      <c r="I821" s="80">
        <v>312</v>
      </c>
      <c r="J821" s="122" t="s">
        <v>955</v>
      </c>
      <c r="K821" s="95">
        <v>21000000000</v>
      </c>
      <c r="L821" s="95">
        <v>0</v>
      </c>
      <c r="M821" s="126">
        <f>+Tabla13[[#This Row],[PF INICIAL]]+Tabla13[[#This Row],[AJUSTE 1]]</f>
        <v>21000000000</v>
      </c>
    </row>
    <row r="822" spans="2:13" x14ac:dyDescent="0.2">
      <c r="B822" s="16" t="s">
        <v>1003</v>
      </c>
      <c r="C822" s="16" t="s">
        <v>1012</v>
      </c>
      <c r="D822" s="46" t="s">
        <v>1051</v>
      </c>
      <c r="E822" s="16" t="s">
        <v>1015</v>
      </c>
      <c r="F822" s="16" t="s">
        <v>1023</v>
      </c>
      <c r="G822" s="16" t="s">
        <v>1035</v>
      </c>
      <c r="H822" s="21" t="s">
        <v>961</v>
      </c>
      <c r="I822" s="80">
        <v>316</v>
      </c>
      <c r="J822" s="122" t="s">
        <v>955</v>
      </c>
      <c r="K822" s="95">
        <v>32826083191</v>
      </c>
      <c r="L822" s="95">
        <v>0</v>
      </c>
      <c r="M822" s="126">
        <f>+Tabla13[[#This Row],[PF INICIAL]]+Tabla13[[#This Row],[AJUSTE 1]]</f>
        <v>32826083191</v>
      </c>
    </row>
    <row r="823" spans="2:13" ht="15" x14ac:dyDescent="0.25">
      <c r="B823" s="123"/>
      <c r="C823" s="123"/>
      <c r="D823" s="123"/>
      <c r="E823" s="123"/>
      <c r="F823" s="123"/>
      <c r="G823" s="123"/>
      <c r="H823" s="124" t="s">
        <v>962</v>
      </c>
      <c r="I823" s="194"/>
      <c r="J823" s="124"/>
      <c r="K823" s="180">
        <f>+K803</f>
        <v>53826083191</v>
      </c>
      <c r="L823" s="180">
        <f>+L803</f>
        <v>0</v>
      </c>
      <c r="M823" s="180">
        <f>+M803</f>
        <v>53826083191</v>
      </c>
    </row>
    <row r="824" spans="2:13" x14ac:dyDescent="0.2">
      <c r="B824" s="16"/>
      <c r="C824" s="16"/>
      <c r="D824" s="16"/>
      <c r="E824" s="16"/>
      <c r="F824" s="16"/>
      <c r="G824" s="16"/>
      <c r="H824" s="45"/>
      <c r="I824" s="46"/>
      <c r="J824" s="22"/>
      <c r="K824" s="150"/>
    </row>
    <row r="825" spans="2:13" ht="15" x14ac:dyDescent="0.25">
      <c r="B825" s="16"/>
      <c r="C825" s="16"/>
      <c r="D825" s="16"/>
      <c r="E825" s="16"/>
      <c r="F825" s="16"/>
      <c r="G825" s="16"/>
      <c r="H825" s="127" t="s">
        <v>1055</v>
      </c>
      <c r="I825" s="195"/>
      <c r="J825" s="127"/>
      <c r="K825" s="181">
        <f>+K641+K3</f>
        <v>1339572954253</v>
      </c>
      <c r="L825" s="181">
        <f>+L641+L3</f>
        <v>0</v>
      </c>
      <c r="M825" s="181">
        <f>+M641+M3</f>
        <v>1339572954253</v>
      </c>
    </row>
    <row r="827" spans="2:13" ht="15" x14ac:dyDescent="0.25">
      <c r="K827" s="131"/>
    </row>
    <row r="832" spans="2:13" x14ac:dyDescent="0.2">
      <c r="K832" s="200"/>
    </row>
    <row r="833" spans="11:11" x14ac:dyDescent="0.2">
      <c r="K833" s="200"/>
    </row>
  </sheetData>
  <mergeCells count="1">
    <mergeCell ref="H1:K1"/>
  </mergeCells>
  <conditionalFormatting sqref="J258">
    <cfRule type="expression" dxfId="17" priority="1">
      <formula>#REF!="A9"</formula>
    </cfRule>
    <cfRule type="expression" dxfId="16" priority="2">
      <formula>#REF!="A8"</formula>
    </cfRule>
    <cfRule type="expression" dxfId="15" priority="3">
      <formula>#REF!="A7"</formula>
    </cfRule>
    <cfRule type="expression" dxfId="14" priority="4">
      <formula>#REF!="A6"</formula>
    </cfRule>
    <cfRule type="expression" dxfId="13" priority="5">
      <formula>#REF!="A5"</formula>
    </cfRule>
    <cfRule type="expression" dxfId="12" priority="6">
      <formula>#REF!="A4"</formula>
    </cfRule>
    <cfRule type="expression" dxfId="11" priority="7">
      <formula>#REF!="A3"</formula>
    </cfRule>
    <cfRule type="expression" dxfId="10" priority="8">
      <formula>#REF!="A2"</formula>
    </cfRule>
    <cfRule type="expression" dxfId="9" priority="9">
      <formula>#REF!="A1"</formula>
    </cfRule>
  </conditionalFormatting>
  <pageMargins left="0.55118110236220474" right="0.74803149606299213" top="0.98425196850393704" bottom="0.98425196850393704" header="0" footer="0"/>
  <pageSetup scale="70" orientation="landscape" blackAndWhite="1" errors="NA" r:id="rId1"/>
  <headerFooter alignWithMargins="0">
    <oddFooter>&amp;C&amp;P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39D63-991F-4DB9-9FD3-46A11EA898FD}">
  <dimension ref="B1:M827"/>
  <sheetViews>
    <sheetView showGridLines="0" zoomScale="85" zoomScaleNormal="85" workbookViewId="0">
      <pane ySplit="1" topLeftCell="A2" activePane="bottomLeft" state="frozen"/>
      <selection activeCell="B1" sqref="B1"/>
      <selection pane="bottomLeft" activeCell="L12" sqref="L12"/>
    </sheetView>
  </sheetViews>
  <sheetFormatPr baseColWidth="10" defaultColWidth="11.42578125" defaultRowHeight="14.25" x14ac:dyDescent="0.2"/>
  <cols>
    <col min="1" max="1" width="11.42578125" style="8"/>
    <col min="2" max="2" width="16.28515625" style="8" customWidth="1"/>
    <col min="3" max="3" width="34.140625" style="8" customWidth="1"/>
    <col min="4" max="4" width="31.7109375" style="8" customWidth="1"/>
    <col min="5" max="5" width="23" style="8" customWidth="1"/>
    <col min="6" max="6" width="18.7109375" style="8" customWidth="1"/>
    <col min="7" max="7" width="20.42578125" style="8" customWidth="1"/>
    <col min="8" max="8" width="45.140625" style="52" customWidth="1"/>
    <col min="9" max="9" width="10.42578125" style="129" customWidth="1"/>
    <col min="10" max="10" width="76.7109375" style="130" customWidth="1"/>
    <col min="11" max="11" width="24.7109375" style="132" bestFit="1" customWidth="1"/>
    <col min="12" max="13" width="21.7109375" style="8" bestFit="1" customWidth="1"/>
    <col min="14" max="16384" width="11.42578125" style="8"/>
  </cols>
  <sheetData>
    <row r="1" spans="2:13" s="3" customFormat="1" ht="15.6" customHeight="1" x14ac:dyDescent="0.25">
      <c r="H1" s="199"/>
      <c r="I1" s="199"/>
      <c r="J1" s="199"/>
      <c r="K1" s="199"/>
    </row>
    <row r="2" spans="2:13" s="3" customFormat="1" ht="15.6" customHeight="1" thickBot="1" x14ac:dyDescent="0.3">
      <c r="H2" s="5"/>
      <c r="I2" s="6"/>
      <c r="J2" s="4"/>
      <c r="K2" s="7"/>
      <c r="L2" s="197"/>
      <c r="M2" s="198"/>
    </row>
    <row r="3" spans="2:13" ht="15.75" thickBot="1" x14ac:dyDescent="0.3">
      <c r="H3" s="9" t="s">
        <v>1001</v>
      </c>
      <c r="I3" s="10"/>
      <c r="J3" s="11"/>
      <c r="K3" s="12">
        <f>+K204+K252+K538+K556+K582+K639</f>
        <v>1268751167162</v>
      </c>
      <c r="L3" s="12">
        <f>+L204+L252+L538+L556+L582+L639</f>
        <v>0</v>
      </c>
      <c r="M3" s="12">
        <f>+M204+M252+M538+M556+M582+M639</f>
        <v>1268751167162</v>
      </c>
    </row>
    <row r="4" spans="2:13" s="13" customFormat="1" ht="21.75" customHeight="1" x14ac:dyDescent="0.25">
      <c r="H4" s="14" t="s">
        <v>773</v>
      </c>
      <c r="I4" s="6"/>
      <c r="J4" s="15"/>
      <c r="K4" s="15"/>
    </row>
    <row r="5" spans="2:13" s="138" customFormat="1" ht="45.6" customHeight="1" x14ac:dyDescent="0.2">
      <c r="B5" s="134" t="s">
        <v>995</v>
      </c>
      <c r="C5" s="135" t="s">
        <v>996</v>
      </c>
      <c r="D5" s="135" t="s">
        <v>1045</v>
      </c>
      <c r="E5" s="135" t="s">
        <v>997</v>
      </c>
      <c r="F5" s="135" t="s">
        <v>998</v>
      </c>
      <c r="G5" s="134" t="s">
        <v>999</v>
      </c>
      <c r="H5" s="134" t="s">
        <v>1000</v>
      </c>
      <c r="I5" s="185" t="s">
        <v>994</v>
      </c>
      <c r="J5" s="136" t="s">
        <v>774</v>
      </c>
      <c r="K5" s="137" t="s">
        <v>1057</v>
      </c>
      <c r="L5" s="137" t="s">
        <v>1058</v>
      </c>
      <c r="M5" s="137" t="s">
        <v>1056</v>
      </c>
    </row>
    <row r="6" spans="2:13" ht="15" x14ac:dyDescent="0.25">
      <c r="B6" s="16"/>
      <c r="C6" s="16"/>
      <c r="D6" s="16"/>
      <c r="E6" s="16"/>
      <c r="F6" s="16"/>
      <c r="G6" s="16"/>
      <c r="H6" s="17" t="s">
        <v>0</v>
      </c>
      <c r="I6" s="18"/>
      <c r="J6" s="19" t="s">
        <v>1</v>
      </c>
      <c r="K6" s="151">
        <f>+K7+K135</f>
        <v>438913691636</v>
      </c>
      <c r="L6" s="151">
        <f t="shared" ref="L6:M6" si="0">+L7+L135</f>
        <v>0</v>
      </c>
      <c r="M6" s="151">
        <f t="shared" si="0"/>
        <v>438913691636</v>
      </c>
    </row>
    <row r="7" spans="2:13" ht="15" x14ac:dyDescent="0.25">
      <c r="B7" s="16"/>
      <c r="C7" s="16"/>
      <c r="D7" s="16"/>
      <c r="E7" s="16"/>
      <c r="F7" s="16"/>
      <c r="G7" s="16"/>
      <c r="H7" s="17" t="s">
        <v>2</v>
      </c>
      <c r="I7" s="18"/>
      <c r="J7" s="19" t="s">
        <v>3</v>
      </c>
      <c r="K7" s="152">
        <f>+K8+K59</f>
        <v>436463691636</v>
      </c>
      <c r="L7" s="152">
        <f t="shared" ref="L7:M7" si="1">+L8+L59</f>
        <v>0</v>
      </c>
      <c r="M7" s="152">
        <f t="shared" si="1"/>
        <v>436463691636</v>
      </c>
    </row>
    <row r="8" spans="2:13" ht="15" x14ac:dyDescent="0.25">
      <c r="B8" s="16"/>
      <c r="C8" s="16"/>
      <c r="D8" s="16"/>
      <c r="E8" s="16"/>
      <c r="F8" s="16"/>
      <c r="G8" s="16"/>
      <c r="H8" s="17" t="s">
        <v>4</v>
      </c>
      <c r="I8" s="18"/>
      <c r="J8" s="19" t="s">
        <v>5</v>
      </c>
      <c r="K8" s="152">
        <f>+K9+K13</f>
        <v>377152180843</v>
      </c>
      <c r="L8" s="152">
        <f t="shared" ref="L8:M8" si="2">+L9+L13</f>
        <v>0</v>
      </c>
      <c r="M8" s="152">
        <f t="shared" si="2"/>
        <v>377152180843</v>
      </c>
    </row>
    <row r="9" spans="2:13" ht="15" x14ac:dyDescent="0.25">
      <c r="B9" s="16"/>
      <c r="C9" s="16"/>
      <c r="D9" s="16"/>
      <c r="E9" s="16"/>
      <c r="F9" s="16"/>
      <c r="G9" s="16"/>
      <c r="H9" s="17" t="s">
        <v>6</v>
      </c>
      <c r="I9" s="18"/>
      <c r="J9" s="19" t="s">
        <v>7</v>
      </c>
      <c r="K9" s="152">
        <f>+K10</f>
        <v>73274635571</v>
      </c>
      <c r="L9" s="152">
        <f t="shared" ref="L9:M9" si="3">+L10</f>
        <v>0</v>
      </c>
      <c r="M9" s="152">
        <f t="shared" si="3"/>
        <v>73274635571</v>
      </c>
    </row>
    <row r="10" spans="2:13" x14ac:dyDescent="0.2">
      <c r="B10" s="16"/>
      <c r="C10" s="16"/>
      <c r="D10" s="16"/>
      <c r="E10" s="16"/>
      <c r="F10" s="16"/>
      <c r="G10" s="16"/>
      <c r="H10" s="21" t="s">
        <v>8</v>
      </c>
      <c r="I10" s="18"/>
      <c r="J10" s="22" t="s">
        <v>9</v>
      </c>
      <c r="K10" s="150">
        <f>+K11+K12</f>
        <v>73274635571</v>
      </c>
      <c r="L10" s="150">
        <f t="shared" ref="L10:M10" si="4">+L11+L12</f>
        <v>0</v>
      </c>
      <c r="M10" s="150">
        <f t="shared" si="4"/>
        <v>73274635571</v>
      </c>
    </row>
    <row r="11" spans="2:13" x14ac:dyDescent="0.2">
      <c r="B11" s="16" t="s">
        <v>1002</v>
      </c>
      <c r="C11" s="16" t="s">
        <v>1004</v>
      </c>
      <c r="D11" s="46" t="s">
        <v>1051</v>
      </c>
      <c r="E11" s="16" t="s">
        <v>1015</v>
      </c>
      <c r="F11" s="16" t="s">
        <v>1022</v>
      </c>
      <c r="G11" s="16" t="s">
        <v>1024</v>
      </c>
      <c r="H11" s="21" t="s">
        <v>11</v>
      </c>
      <c r="I11" s="18" t="str">
        <f>RIGHT(H11,4)</f>
        <v>- 14</v>
      </c>
      <c r="J11" s="22" t="s">
        <v>9</v>
      </c>
      <c r="K11" s="126">
        <f>+Tabla13[[#This Row],[PF TOTAL]]</f>
        <v>14654927114</v>
      </c>
      <c r="L11" s="126"/>
      <c r="M11" s="126">
        <f>+Tabla134[[#This Row],[PF AJUSTE 1]]+Tabla134[[#This Row],[AJUSTE 2]]</f>
        <v>14654927114</v>
      </c>
    </row>
    <row r="12" spans="2:13" x14ac:dyDescent="0.2">
      <c r="B12" s="16" t="s">
        <v>1002</v>
      </c>
      <c r="C12" s="16" t="s">
        <v>1004</v>
      </c>
      <c r="D12" s="46" t="s">
        <v>1051</v>
      </c>
      <c r="E12" s="16" t="s">
        <v>1013</v>
      </c>
      <c r="F12" s="16" t="s">
        <v>1022</v>
      </c>
      <c r="G12" s="16" t="s">
        <v>1024</v>
      </c>
      <c r="H12" s="21" t="s">
        <v>12</v>
      </c>
      <c r="I12" s="18" t="str">
        <f>RIGHT(H12,4)</f>
        <v>- 20</v>
      </c>
      <c r="J12" s="22" t="s">
        <v>9</v>
      </c>
      <c r="K12" s="126">
        <f>+Tabla13[[#This Row],[PF TOTAL]]</f>
        <v>58619708457</v>
      </c>
      <c r="L12" s="126"/>
      <c r="M12" s="126">
        <f>+Tabla134[[#This Row],[PF AJUSTE 1]]+Tabla134[[#This Row],[AJUSTE 2]]</f>
        <v>58619708457</v>
      </c>
    </row>
    <row r="13" spans="2:13" ht="15" x14ac:dyDescent="0.25">
      <c r="B13" s="16"/>
      <c r="C13" s="16"/>
      <c r="D13" s="16"/>
      <c r="E13" s="16"/>
      <c r="F13" s="16"/>
      <c r="G13" s="16"/>
      <c r="H13" s="17" t="s">
        <v>13</v>
      </c>
      <c r="I13" s="18"/>
      <c r="J13" s="19" t="s">
        <v>14</v>
      </c>
      <c r="K13" s="152">
        <f>+K14+K21+K23+K35+K40+K45+K48+K50</f>
        <v>303877545272</v>
      </c>
      <c r="L13" s="152">
        <f t="shared" ref="L13:M13" si="5">+L14+L21+L23+L35+L40+L45+L48+L50</f>
        <v>0</v>
      </c>
      <c r="M13" s="152">
        <f t="shared" si="5"/>
        <v>303877545272</v>
      </c>
    </row>
    <row r="14" spans="2:13" x14ac:dyDescent="0.2">
      <c r="B14" s="16"/>
      <c r="C14" s="16"/>
      <c r="D14" s="16"/>
      <c r="E14" s="16"/>
      <c r="F14" s="16"/>
      <c r="G14" s="16"/>
      <c r="H14" s="21" t="s">
        <v>15</v>
      </c>
      <c r="I14" s="18"/>
      <c r="J14" s="22" t="s">
        <v>16</v>
      </c>
      <c r="K14" s="150">
        <f>+K15+K18</f>
        <v>31564734950</v>
      </c>
      <c r="L14" s="150">
        <f t="shared" ref="L14:M14" si="6">+L15+L18</f>
        <v>0</v>
      </c>
      <c r="M14" s="150">
        <f t="shared" si="6"/>
        <v>31564734950</v>
      </c>
    </row>
    <row r="15" spans="2:13" x14ac:dyDescent="0.2">
      <c r="B15" s="16"/>
      <c r="C15" s="16"/>
      <c r="D15" s="16"/>
      <c r="E15" s="16"/>
      <c r="F15" s="16"/>
      <c r="G15" s="16"/>
      <c r="H15" s="21" t="s">
        <v>17</v>
      </c>
      <c r="I15" s="18"/>
      <c r="J15" s="22" t="s">
        <v>18</v>
      </c>
      <c r="K15" s="150">
        <f>+K16+K17</f>
        <v>1578236747</v>
      </c>
      <c r="L15" s="150">
        <f t="shared" ref="L15:M15" si="7">+L16+L17</f>
        <v>0</v>
      </c>
      <c r="M15" s="150">
        <f t="shared" si="7"/>
        <v>1578236747</v>
      </c>
    </row>
    <row r="16" spans="2:13" x14ac:dyDescent="0.2">
      <c r="B16" s="16" t="s">
        <v>1002</v>
      </c>
      <c r="C16" s="16" t="s">
        <v>1004</v>
      </c>
      <c r="D16" s="46" t="s">
        <v>1051</v>
      </c>
      <c r="E16" s="16" t="s">
        <v>1015</v>
      </c>
      <c r="F16" s="16" t="s">
        <v>1022</v>
      </c>
      <c r="G16" s="16" t="s">
        <v>1024</v>
      </c>
      <c r="H16" s="21" t="s">
        <v>19</v>
      </c>
      <c r="I16" s="18" t="str">
        <f t="shared" ref="I16:I22" si="8">RIGHT(H16,4)</f>
        <v>- 01</v>
      </c>
      <c r="J16" s="22" t="s">
        <v>18</v>
      </c>
      <c r="K16" s="126">
        <f>+Tabla13[[#This Row],[PF TOTAL]]</f>
        <v>350719277</v>
      </c>
      <c r="L16" s="126"/>
      <c r="M16" s="126">
        <f>+Tabla134[[#This Row],[PF AJUSTE 1]]+Tabla134[[#This Row],[AJUSTE 2]]</f>
        <v>350719277</v>
      </c>
    </row>
    <row r="17" spans="2:13" x14ac:dyDescent="0.2">
      <c r="B17" s="16" t="s">
        <v>1002</v>
      </c>
      <c r="C17" s="16" t="s">
        <v>1004</v>
      </c>
      <c r="D17" s="46" t="s">
        <v>1051</v>
      </c>
      <c r="E17" s="16" t="s">
        <v>1013</v>
      </c>
      <c r="F17" s="16" t="s">
        <v>1022</v>
      </c>
      <c r="G17" s="16" t="s">
        <v>1024</v>
      </c>
      <c r="H17" s="21" t="s">
        <v>20</v>
      </c>
      <c r="I17" s="18" t="str">
        <f t="shared" si="8"/>
        <v>- 20</v>
      </c>
      <c r="J17" s="22" t="s">
        <v>18</v>
      </c>
      <c r="K17" s="126">
        <f>+Tabla13[[#This Row],[PF TOTAL]]</f>
        <v>1227517470</v>
      </c>
      <c r="L17" s="126"/>
      <c r="M17" s="126">
        <f>+Tabla134[[#This Row],[PF AJUSTE 1]]+Tabla134[[#This Row],[AJUSTE 2]]</f>
        <v>1227517470</v>
      </c>
    </row>
    <row r="18" spans="2:13" x14ac:dyDescent="0.2">
      <c r="B18" s="16"/>
      <c r="C18" s="16"/>
      <c r="D18" s="16"/>
      <c r="E18" s="16"/>
      <c r="F18" s="16"/>
      <c r="G18" s="16"/>
      <c r="H18" s="21" t="s">
        <v>21</v>
      </c>
      <c r="I18" s="18"/>
      <c r="J18" s="22" t="s">
        <v>22</v>
      </c>
      <c r="K18" s="150">
        <f>+K19+K20</f>
        <v>29986498203</v>
      </c>
      <c r="L18" s="150">
        <f t="shared" ref="L18:M18" si="9">+L19+L20</f>
        <v>0</v>
      </c>
      <c r="M18" s="150">
        <f t="shared" si="9"/>
        <v>29986498203</v>
      </c>
    </row>
    <row r="19" spans="2:13" x14ac:dyDescent="0.2">
      <c r="B19" s="16" t="s">
        <v>1002</v>
      </c>
      <c r="C19" s="16" t="s">
        <v>1004</v>
      </c>
      <c r="D19" s="46" t="s">
        <v>1051</v>
      </c>
      <c r="E19" s="16" t="s">
        <v>1015</v>
      </c>
      <c r="F19" s="16" t="s">
        <v>1022</v>
      </c>
      <c r="G19" s="16" t="s">
        <v>1024</v>
      </c>
      <c r="H19" s="21" t="s">
        <v>23</v>
      </c>
      <c r="I19" s="18" t="str">
        <f t="shared" si="8"/>
        <v>- 01</v>
      </c>
      <c r="J19" s="22" t="s">
        <v>22</v>
      </c>
      <c r="K19" s="126">
        <f>+Tabla13[[#This Row],[PF TOTAL]]</f>
        <v>6663666267</v>
      </c>
      <c r="L19" s="126"/>
      <c r="M19" s="126">
        <f>+Tabla134[[#This Row],[PF AJUSTE 1]]+Tabla134[[#This Row],[AJUSTE 2]]</f>
        <v>6663666267</v>
      </c>
    </row>
    <row r="20" spans="2:13" x14ac:dyDescent="0.2">
      <c r="B20" s="16" t="s">
        <v>1002</v>
      </c>
      <c r="C20" s="16" t="s">
        <v>1004</v>
      </c>
      <c r="D20" s="46" t="s">
        <v>1051</v>
      </c>
      <c r="E20" s="16" t="s">
        <v>1013</v>
      </c>
      <c r="F20" s="16" t="s">
        <v>1022</v>
      </c>
      <c r="G20" s="16" t="s">
        <v>1024</v>
      </c>
      <c r="H20" s="21" t="s">
        <v>24</v>
      </c>
      <c r="I20" s="18" t="str">
        <f t="shared" si="8"/>
        <v>- 20</v>
      </c>
      <c r="J20" s="22" t="s">
        <v>22</v>
      </c>
      <c r="K20" s="126">
        <f>+Tabla13[[#This Row],[PF TOTAL]]</f>
        <v>23322831936</v>
      </c>
      <c r="L20" s="126"/>
      <c r="M20" s="126">
        <f>+Tabla134[[#This Row],[PF AJUSTE 1]]+Tabla134[[#This Row],[AJUSTE 2]]</f>
        <v>23322831936</v>
      </c>
    </row>
    <row r="21" spans="2:13" x14ac:dyDescent="0.2">
      <c r="B21" s="16"/>
      <c r="C21" s="16"/>
      <c r="D21" s="16"/>
      <c r="E21" s="16"/>
      <c r="F21" s="16"/>
      <c r="G21" s="16"/>
      <c r="H21" s="21" t="s">
        <v>25</v>
      </c>
      <c r="I21" s="18"/>
      <c r="J21" s="22" t="s">
        <v>26</v>
      </c>
      <c r="K21" s="150">
        <f>+K22</f>
        <v>5500000000</v>
      </c>
      <c r="L21" s="150">
        <f t="shared" ref="L21:M21" si="10">+L22</f>
        <v>0</v>
      </c>
      <c r="M21" s="150">
        <f t="shared" si="10"/>
        <v>5500000000</v>
      </c>
    </row>
    <row r="22" spans="2:13" x14ac:dyDescent="0.2">
      <c r="B22" s="16" t="s">
        <v>1002</v>
      </c>
      <c r="C22" s="16" t="s">
        <v>1004</v>
      </c>
      <c r="D22" s="46" t="s">
        <v>1051</v>
      </c>
      <c r="E22" s="16" t="s">
        <v>1013</v>
      </c>
      <c r="F22" s="16" t="s">
        <v>1022</v>
      </c>
      <c r="G22" s="16" t="s">
        <v>1024</v>
      </c>
      <c r="H22" s="21" t="s">
        <v>27</v>
      </c>
      <c r="I22" s="18" t="str">
        <f t="shared" si="8"/>
        <v>- 20</v>
      </c>
      <c r="J22" s="22" t="s">
        <v>26</v>
      </c>
      <c r="K22" s="126">
        <f>+Tabla13[[#This Row],[PF TOTAL]]</f>
        <v>5500000000</v>
      </c>
      <c r="L22" s="126"/>
      <c r="M22" s="126">
        <f>+Tabla134[[#This Row],[PF AJUSTE 1]]+Tabla134[[#This Row],[AJUSTE 2]]</f>
        <v>5500000000</v>
      </c>
    </row>
    <row r="23" spans="2:13" x14ac:dyDescent="0.2">
      <c r="B23" s="16"/>
      <c r="C23" s="16"/>
      <c r="D23" s="16"/>
      <c r="E23" s="16"/>
      <c r="F23" s="16"/>
      <c r="G23" s="16"/>
      <c r="H23" s="21" t="s">
        <v>28</v>
      </c>
      <c r="I23" s="18"/>
      <c r="J23" s="22" t="s">
        <v>29</v>
      </c>
      <c r="K23" s="150">
        <f>+K24</f>
        <v>4048770093</v>
      </c>
      <c r="L23" s="150">
        <f t="shared" ref="L23:M23" si="11">+L24</f>
        <v>0</v>
      </c>
      <c r="M23" s="150">
        <f t="shared" si="11"/>
        <v>4048770093</v>
      </c>
    </row>
    <row r="24" spans="2:13" x14ac:dyDescent="0.2">
      <c r="B24" s="16"/>
      <c r="C24" s="16"/>
      <c r="D24" s="16"/>
      <c r="E24" s="16"/>
      <c r="F24" s="16"/>
      <c r="G24" s="16"/>
      <c r="H24" s="21" t="s">
        <v>30</v>
      </c>
      <c r="I24" s="18"/>
      <c r="J24" s="22" t="s">
        <v>31</v>
      </c>
      <c r="K24" s="150">
        <f>+K25+K30</f>
        <v>4048770093</v>
      </c>
      <c r="L24" s="150">
        <f t="shared" ref="L24:M24" si="12">+L25+L30</f>
        <v>0</v>
      </c>
      <c r="M24" s="150">
        <f t="shared" si="12"/>
        <v>4048770093</v>
      </c>
    </row>
    <row r="25" spans="2:13" x14ac:dyDescent="0.2">
      <c r="B25" s="16"/>
      <c r="C25" s="16"/>
      <c r="D25" s="16"/>
      <c r="E25" s="16"/>
      <c r="F25" s="16"/>
      <c r="G25" s="16"/>
      <c r="H25" s="21" t="s">
        <v>32</v>
      </c>
      <c r="I25" s="18"/>
      <c r="J25" s="22" t="s">
        <v>33</v>
      </c>
      <c r="K25" s="150">
        <f>+K26+K27+K28+K29</f>
        <v>1713796671</v>
      </c>
      <c r="L25" s="150">
        <f t="shared" ref="L25:M25" si="13">+L26+L27+L28+L29</f>
        <v>0</v>
      </c>
      <c r="M25" s="150">
        <f t="shared" si="13"/>
        <v>1713796671</v>
      </c>
    </row>
    <row r="26" spans="2:13" ht="28.5" x14ac:dyDescent="0.2">
      <c r="B26" s="16" t="s">
        <v>1002</v>
      </c>
      <c r="C26" s="16" t="s">
        <v>1004</v>
      </c>
      <c r="D26" s="46" t="s">
        <v>1051</v>
      </c>
      <c r="E26" s="16" t="s">
        <v>1013</v>
      </c>
      <c r="F26" s="16" t="s">
        <v>1022</v>
      </c>
      <c r="G26" s="16" t="s">
        <v>1024</v>
      </c>
      <c r="H26" s="21" t="s">
        <v>34</v>
      </c>
      <c r="I26" s="18" t="str">
        <f t="shared" ref="I26:I34" si="14">RIGHT(H26,4)</f>
        <v>- 20</v>
      </c>
      <c r="J26" s="22" t="s">
        <v>35</v>
      </c>
      <c r="K26" s="126">
        <f>+Tabla13[[#This Row],[PF TOTAL]]</f>
        <v>697904095</v>
      </c>
      <c r="L26" s="126"/>
      <c r="M26" s="126">
        <f>+Tabla134[[#This Row],[PF AJUSTE 1]]+Tabla134[[#This Row],[AJUSTE 2]]</f>
        <v>697904095</v>
      </c>
    </row>
    <row r="27" spans="2:13" ht="28.5" x14ac:dyDescent="0.2">
      <c r="B27" s="16" t="s">
        <v>1002</v>
      </c>
      <c r="C27" s="16" t="s">
        <v>1004</v>
      </c>
      <c r="D27" s="46" t="s">
        <v>1051</v>
      </c>
      <c r="E27" s="16" t="s">
        <v>1015</v>
      </c>
      <c r="F27" s="16" t="s">
        <v>1022</v>
      </c>
      <c r="G27" s="16" t="s">
        <v>1024</v>
      </c>
      <c r="H27" s="21" t="s">
        <v>36</v>
      </c>
      <c r="I27" s="18" t="str">
        <f t="shared" si="14"/>
        <v>- 60</v>
      </c>
      <c r="J27" s="22" t="s">
        <v>35</v>
      </c>
      <c r="K27" s="126">
        <f>+Tabla13[[#This Row],[PF TOTAL]]</f>
        <v>34895204</v>
      </c>
      <c r="L27" s="126"/>
      <c r="M27" s="126">
        <f>+Tabla134[[#This Row],[PF AJUSTE 1]]+Tabla134[[#This Row],[AJUSTE 2]]</f>
        <v>34895204</v>
      </c>
    </row>
    <row r="28" spans="2:13" ht="28.5" x14ac:dyDescent="0.2">
      <c r="B28" s="16" t="s">
        <v>1002</v>
      </c>
      <c r="C28" s="16" t="s">
        <v>1004</v>
      </c>
      <c r="D28" s="46" t="s">
        <v>1051</v>
      </c>
      <c r="E28" s="16" t="s">
        <v>1013</v>
      </c>
      <c r="F28" s="16" t="s">
        <v>1022</v>
      </c>
      <c r="G28" s="16" t="s">
        <v>1024</v>
      </c>
      <c r="H28" s="21" t="s">
        <v>37</v>
      </c>
      <c r="I28" s="18" t="str">
        <f t="shared" si="14"/>
        <v>- 20</v>
      </c>
      <c r="J28" s="22" t="s">
        <v>38</v>
      </c>
      <c r="K28" s="126">
        <f>+Tabla13[[#This Row],[PF TOTAL]]</f>
        <v>934283212</v>
      </c>
      <c r="L28" s="126"/>
      <c r="M28" s="126">
        <f>+Tabla134[[#This Row],[PF AJUSTE 1]]+Tabla134[[#This Row],[AJUSTE 2]]</f>
        <v>934283212</v>
      </c>
    </row>
    <row r="29" spans="2:13" ht="28.5" x14ac:dyDescent="0.2">
      <c r="B29" s="16" t="s">
        <v>1002</v>
      </c>
      <c r="C29" s="16" t="s">
        <v>1004</v>
      </c>
      <c r="D29" s="46" t="s">
        <v>1051</v>
      </c>
      <c r="E29" s="16" t="s">
        <v>1015</v>
      </c>
      <c r="F29" s="16" t="s">
        <v>1022</v>
      </c>
      <c r="G29" s="16" t="s">
        <v>1024</v>
      </c>
      <c r="H29" s="21" t="s">
        <v>39</v>
      </c>
      <c r="I29" s="18" t="str">
        <f t="shared" si="14"/>
        <v>- 60</v>
      </c>
      <c r="J29" s="22" t="s">
        <v>38</v>
      </c>
      <c r="K29" s="126">
        <f>+Tabla13[[#This Row],[PF TOTAL]]</f>
        <v>46714160</v>
      </c>
      <c r="L29" s="126"/>
      <c r="M29" s="126">
        <f>+Tabla134[[#This Row],[PF AJUSTE 1]]+Tabla134[[#This Row],[AJUSTE 2]]</f>
        <v>46714160</v>
      </c>
    </row>
    <row r="30" spans="2:13" ht="28.5" x14ac:dyDescent="0.2">
      <c r="B30" s="16"/>
      <c r="C30" s="16"/>
      <c r="D30" s="16"/>
      <c r="E30" s="16"/>
      <c r="F30" s="16"/>
      <c r="G30" s="16"/>
      <c r="H30" s="21" t="s">
        <v>40</v>
      </c>
      <c r="I30" s="18"/>
      <c r="J30" s="22" t="s">
        <v>41</v>
      </c>
      <c r="K30" s="150">
        <f>+K31+K32+K33+K34</f>
        <v>2334973422</v>
      </c>
      <c r="L30" s="150">
        <f t="shared" ref="L30:M30" si="15">+L31+L32+L33+L34</f>
        <v>0</v>
      </c>
      <c r="M30" s="150">
        <f t="shared" si="15"/>
        <v>2334973422</v>
      </c>
    </row>
    <row r="31" spans="2:13" ht="28.5" x14ac:dyDescent="0.2">
      <c r="B31" s="16" t="s">
        <v>1002</v>
      </c>
      <c r="C31" s="16" t="s">
        <v>1004</v>
      </c>
      <c r="D31" s="46" t="s">
        <v>1051</v>
      </c>
      <c r="E31" s="16" t="s">
        <v>1013</v>
      </c>
      <c r="F31" s="16" t="s">
        <v>1022</v>
      </c>
      <c r="G31" s="16" t="s">
        <v>1024</v>
      </c>
      <c r="H31" s="21" t="s">
        <v>42</v>
      </c>
      <c r="I31" s="18" t="str">
        <f t="shared" si="14"/>
        <v>- 20</v>
      </c>
      <c r="J31" s="22" t="s">
        <v>43</v>
      </c>
      <c r="K31" s="126">
        <f>+Tabla13[[#This Row],[PF TOTAL]]</f>
        <v>816873677</v>
      </c>
      <c r="L31" s="126"/>
      <c r="M31" s="126">
        <f>+Tabla134[[#This Row],[PF AJUSTE 1]]+Tabla134[[#This Row],[AJUSTE 2]]</f>
        <v>816873677</v>
      </c>
    </row>
    <row r="32" spans="2:13" ht="28.5" x14ac:dyDescent="0.2">
      <c r="B32" s="16" t="s">
        <v>1002</v>
      </c>
      <c r="C32" s="16" t="s">
        <v>1004</v>
      </c>
      <c r="D32" s="46" t="s">
        <v>1051</v>
      </c>
      <c r="E32" s="16" t="s">
        <v>1015</v>
      </c>
      <c r="F32" s="16" t="s">
        <v>1022</v>
      </c>
      <c r="G32" s="16" t="s">
        <v>1024</v>
      </c>
      <c r="H32" s="21" t="s">
        <v>44</v>
      </c>
      <c r="I32" s="18" t="str">
        <f t="shared" si="14"/>
        <v>- 60</v>
      </c>
      <c r="J32" s="22" t="s">
        <v>43</v>
      </c>
      <c r="K32" s="126">
        <f>+Tabla13[[#This Row],[PF TOTAL]]</f>
        <v>40843683</v>
      </c>
      <c r="L32" s="126"/>
      <c r="M32" s="126">
        <f>+Tabla134[[#This Row],[PF AJUSTE 1]]+Tabla134[[#This Row],[AJUSTE 2]]</f>
        <v>40843683</v>
      </c>
    </row>
    <row r="33" spans="2:13" ht="28.5" x14ac:dyDescent="0.2">
      <c r="B33" s="16" t="s">
        <v>1002</v>
      </c>
      <c r="C33" s="16" t="s">
        <v>1004</v>
      </c>
      <c r="D33" s="46" t="s">
        <v>1051</v>
      </c>
      <c r="E33" s="16" t="s">
        <v>1013</v>
      </c>
      <c r="F33" s="16" t="s">
        <v>1022</v>
      </c>
      <c r="G33" s="16" t="s">
        <v>1024</v>
      </c>
      <c r="H33" s="21" t="s">
        <v>45</v>
      </c>
      <c r="I33" s="18" t="str">
        <f t="shared" si="14"/>
        <v>- 20</v>
      </c>
      <c r="J33" s="22" t="s">
        <v>46</v>
      </c>
      <c r="K33" s="126">
        <f>+Tabla13[[#This Row],[PF TOTAL]]</f>
        <v>1406910536</v>
      </c>
      <c r="L33" s="126"/>
      <c r="M33" s="126">
        <f>+Tabla134[[#This Row],[PF AJUSTE 1]]+Tabla134[[#This Row],[AJUSTE 2]]</f>
        <v>1406910536</v>
      </c>
    </row>
    <row r="34" spans="2:13" ht="28.5" x14ac:dyDescent="0.2">
      <c r="B34" s="16" t="s">
        <v>1002</v>
      </c>
      <c r="C34" s="16" t="s">
        <v>1004</v>
      </c>
      <c r="D34" s="46" t="s">
        <v>1051</v>
      </c>
      <c r="E34" s="16" t="s">
        <v>1015</v>
      </c>
      <c r="F34" s="16" t="s">
        <v>1022</v>
      </c>
      <c r="G34" s="16" t="s">
        <v>1024</v>
      </c>
      <c r="H34" s="21" t="s">
        <v>47</v>
      </c>
      <c r="I34" s="18" t="str">
        <f t="shared" si="14"/>
        <v>- 60</v>
      </c>
      <c r="J34" s="22" t="s">
        <v>46</v>
      </c>
      <c r="K34" s="126">
        <f>+Tabla13[[#This Row],[PF TOTAL]]</f>
        <v>70345526</v>
      </c>
      <c r="L34" s="126"/>
      <c r="M34" s="126">
        <f>+Tabla134[[#This Row],[PF AJUSTE 1]]+Tabla134[[#This Row],[AJUSTE 2]]</f>
        <v>70345526</v>
      </c>
    </row>
    <row r="35" spans="2:13" x14ac:dyDescent="0.2">
      <c r="B35" s="16"/>
      <c r="C35" s="16"/>
      <c r="D35" s="16"/>
      <c r="E35" s="16"/>
      <c r="F35" s="16"/>
      <c r="G35" s="16"/>
      <c r="H35" s="21" t="s">
        <v>48</v>
      </c>
      <c r="I35" s="18"/>
      <c r="J35" s="22" t="s">
        <v>49</v>
      </c>
      <c r="K35" s="150">
        <f>+K36+K38</f>
        <v>93466493227</v>
      </c>
      <c r="L35" s="150">
        <f t="shared" ref="L35:M35" si="16">+L36+L38</f>
        <v>0</v>
      </c>
      <c r="M35" s="150">
        <f t="shared" si="16"/>
        <v>93466493227</v>
      </c>
    </row>
    <row r="36" spans="2:13" x14ac:dyDescent="0.2">
      <c r="B36" s="16"/>
      <c r="C36" s="16"/>
      <c r="D36" s="16"/>
      <c r="E36" s="16"/>
      <c r="F36" s="16"/>
      <c r="G36" s="16"/>
      <c r="H36" s="21" t="s">
        <v>50</v>
      </c>
      <c r="I36" s="18"/>
      <c r="J36" s="22" t="s">
        <v>51</v>
      </c>
      <c r="K36" s="150">
        <f>+K37</f>
        <v>93383153227</v>
      </c>
      <c r="L36" s="150">
        <f t="shared" ref="L36:M36" si="17">+L37</f>
        <v>0</v>
      </c>
      <c r="M36" s="150">
        <f t="shared" si="17"/>
        <v>93383153227</v>
      </c>
    </row>
    <row r="37" spans="2:13" x14ac:dyDescent="0.2">
      <c r="B37" s="16" t="s">
        <v>1002</v>
      </c>
      <c r="C37" s="16" t="s">
        <v>1004</v>
      </c>
      <c r="D37" s="46" t="s">
        <v>1051</v>
      </c>
      <c r="E37" s="16" t="s">
        <v>1013</v>
      </c>
      <c r="F37" s="16" t="s">
        <v>1022</v>
      </c>
      <c r="G37" s="16" t="s">
        <v>1024</v>
      </c>
      <c r="H37" s="21" t="s">
        <v>52</v>
      </c>
      <c r="I37" s="18" t="str">
        <f>RIGHT(H37,4)</f>
        <v>- 20</v>
      </c>
      <c r="J37" s="22" t="s">
        <v>51</v>
      </c>
      <c r="K37" s="126">
        <f>+Tabla13[[#This Row],[PF TOTAL]]</f>
        <v>93383153227</v>
      </c>
      <c r="L37" s="126"/>
      <c r="M37" s="126">
        <f>+Tabla134[[#This Row],[PF AJUSTE 1]]+Tabla134[[#This Row],[AJUSTE 2]]</f>
        <v>93383153227</v>
      </c>
    </row>
    <row r="38" spans="2:13" x14ac:dyDescent="0.2">
      <c r="B38" s="16"/>
      <c r="C38" s="16"/>
      <c r="D38" s="16"/>
      <c r="E38" s="16"/>
      <c r="F38" s="16"/>
      <c r="G38" s="16"/>
      <c r="H38" s="21" t="s">
        <v>53</v>
      </c>
      <c r="I38" s="18"/>
      <c r="J38" s="22" t="s">
        <v>54</v>
      </c>
      <c r="K38" s="150">
        <f>+K39</f>
        <v>83340000</v>
      </c>
      <c r="L38" s="150">
        <f t="shared" ref="L38:M38" si="18">+L39</f>
        <v>0</v>
      </c>
      <c r="M38" s="150">
        <f t="shared" si="18"/>
        <v>83340000</v>
      </c>
    </row>
    <row r="39" spans="2:13" x14ac:dyDescent="0.2">
      <c r="B39" s="16" t="s">
        <v>1002</v>
      </c>
      <c r="C39" s="16" t="s">
        <v>1004</v>
      </c>
      <c r="D39" s="46" t="s">
        <v>1051</v>
      </c>
      <c r="E39" s="16" t="s">
        <v>1013</v>
      </c>
      <c r="F39" s="16" t="s">
        <v>1022</v>
      </c>
      <c r="G39" s="16" t="s">
        <v>1024</v>
      </c>
      <c r="H39" s="21" t="s">
        <v>55</v>
      </c>
      <c r="I39" s="18" t="str">
        <f>RIGHT(H39,4)</f>
        <v>- 20</v>
      </c>
      <c r="J39" s="22" t="s">
        <v>54</v>
      </c>
      <c r="K39" s="126">
        <f>+Tabla13[[#This Row],[PF TOTAL]]</f>
        <v>83340000</v>
      </c>
      <c r="L39" s="126"/>
      <c r="M39" s="126">
        <f>+Tabla134[[#This Row],[PF AJUSTE 1]]+Tabla134[[#This Row],[AJUSTE 2]]</f>
        <v>83340000</v>
      </c>
    </row>
    <row r="40" spans="2:13" x14ac:dyDescent="0.2">
      <c r="B40" s="16"/>
      <c r="C40" s="16"/>
      <c r="D40" s="16"/>
      <c r="E40" s="16"/>
      <c r="F40" s="16"/>
      <c r="G40" s="16"/>
      <c r="H40" s="21" t="s">
        <v>56</v>
      </c>
      <c r="I40" s="18"/>
      <c r="J40" s="22" t="s">
        <v>57</v>
      </c>
      <c r="K40" s="150">
        <f>+K41</f>
        <v>14568136284</v>
      </c>
      <c r="L40" s="150">
        <f t="shared" ref="L40:M41" si="19">+L41</f>
        <v>0</v>
      </c>
      <c r="M40" s="150">
        <f t="shared" si="19"/>
        <v>14568136284</v>
      </c>
    </row>
    <row r="41" spans="2:13" x14ac:dyDescent="0.2">
      <c r="B41" s="16"/>
      <c r="C41" s="16"/>
      <c r="D41" s="16"/>
      <c r="E41" s="16"/>
      <c r="F41" s="16"/>
      <c r="G41" s="16"/>
      <c r="H41" s="21" t="s">
        <v>58</v>
      </c>
      <c r="I41" s="18"/>
      <c r="J41" s="22" t="s">
        <v>59</v>
      </c>
      <c r="K41" s="150">
        <f>+K42</f>
        <v>14568136284</v>
      </c>
      <c r="L41" s="150">
        <f t="shared" si="19"/>
        <v>0</v>
      </c>
      <c r="M41" s="150">
        <f t="shared" si="19"/>
        <v>14568136284</v>
      </c>
    </row>
    <row r="42" spans="2:13" ht="28.5" x14ac:dyDescent="0.2">
      <c r="B42" s="16"/>
      <c r="C42" s="16"/>
      <c r="D42" s="16"/>
      <c r="E42" s="16"/>
      <c r="F42" s="16"/>
      <c r="G42" s="16"/>
      <c r="H42" s="21" t="s">
        <v>60</v>
      </c>
      <c r="I42" s="18"/>
      <c r="J42" s="22" t="s">
        <v>61</v>
      </c>
      <c r="K42" s="150">
        <f>+K43+K44</f>
        <v>14568136284</v>
      </c>
      <c r="L42" s="150">
        <f t="shared" ref="L42:M42" si="20">+L43+L44</f>
        <v>0</v>
      </c>
      <c r="M42" s="150">
        <f t="shared" si="20"/>
        <v>14568136284</v>
      </c>
    </row>
    <row r="43" spans="2:13" ht="28.5" x14ac:dyDescent="0.2">
      <c r="B43" s="16" t="s">
        <v>1002</v>
      </c>
      <c r="C43" s="16" t="s">
        <v>1004</v>
      </c>
      <c r="D43" s="46" t="s">
        <v>1051</v>
      </c>
      <c r="E43" s="16" t="s">
        <v>1013</v>
      </c>
      <c r="F43" s="16" t="s">
        <v>1022</v>
      </c>
      <c r="G43" s="16" t="s">
        <v>1024</v>
      </c>
      <c r="H43" s="21" t="s">
        <v>62</v>
      </c>
      <c r="I43" s="18" t="str">
        <f t="shared" ref="I43:I57" si="21">RIGHT(H43,4)</f>
        <v>- 20</v>
      </c>
      <c r="J43" s="22" t="s">
        <v>61</v>
      </c>
      <c r="K43" s="126">
        <f>+Tabla13[[#This Row],[PF TOTAL]]</f>
        <v>12237234479</v>
      </c>
      <c r="L43" s="126"/>
      <c r="M43" s="126">
        <f>+Tabla134[[#This Row],[PF AJUSTE 1]]+Tabla134[[#This Row],[AJUSTE 2]]</f>
        <v>12237234479</v>
      </c>
    </row>
    <row r="44" spans="2:13" ht="28.5" x14ac:dyDescent="0.2">
      <c r="B44" s="16" t="s">
        <v>1002</v>
      </c>
      <c r="C44" s="16" t="s">
        <v>1004</v>
      </c>
      <c r="D44" s="46" t="s">
        <v>1051</v>
      </c>
      <c r="E44" s="16" t="s">
        <v>1015</v>
      </c>
      <c r="F44" s="16" t="s">
        <v>1022</v>
      </c>
      <c r="G44" s="16" t="s">
        <v>1024</v>
      </c>
      <c r="H44" s="21" t="s">
        <v>63</v>
      </c>
      <c r="I44" s="18" t="str">
        <f t="shared" si="21"/>
        <v>- 58</v>
      </c>
      <c r="J44" s="22" t="s">
        <v>61</v>
      </c>
      <c r="K44" s="126">
        <f>+Tabla13[[#This Row],[PF TOTAL]]</f>
        <v>2330901805</v>
      </c>
      <c r="L44" s="126"/>
      <c r="M44" s="126">
        <f>+Tabla134[[#This Row],[PF AJUSTE 1]]+Tabla134[[#This Row],[AJUSTE 2]]</f>
        <v>2330901805</v>
      </c>
    </row>
    <row r="45" spans="2:13" x14ac:dyDescent="0.2">
      <c r="B45" s="16"/>
      <c r="C45" s="16"/>
      <c r="D45" s="16"/>
      <c r="E45" s="16"/>
      <c r="F45" s="16"/>
      <c r="G45" s="16"/>
      <c r="H45" s="21" t="s">
        <v>64</v>
      </c>
      <c r="I45" s="18"/>
      <c r="J45" s="22" t="s">
        <v>65</v>
      </c>
      <c r="K45" s="150">
        <f>+K46+K47</f>
        <v>23618883451</v>
      </c>
      <c r="L45" s="150">
        <f t="shared" ref="L45:M45" si="22">+L46+L47</f>
        <v>0</v>
      </c>
      <c r="M45" s="150">
        <f t="shared" si="22"/>
        <v>23618883451</v>
      </c>
    </row>
    <row r="46" spans="2:13" x14ac:dyDescent="0.2">
      <c r="B46" s="16" t="s">
        <v>1002</v>
      </c>
      <c r="C46" s="16" t="s">
        <v>1004</v>
      </c>
      <c r="D46" s="46" t="s">
        <v>1051</v>
      </c>
      <c r="E46" s="16" t="s">
        <v>1013</v>
      </c>
      <c r="F46" s="16" t="s">
        <v>1022</v>
      </c>
      <c r="G46" s="16" t="s">
        <v>1024</v>
      </c>
      <c r="H46" s="21" t="s">
        <v>66</v>
      </c>
      <c r="I46" s="18" t="str">
        <f t="shared" si="21"/>
        <v>- 20</v>
      </c>
      <c r="J46" s="22" t="s">
        <v>65</v>
      </c>
      <c r="K46" s="126">
        <f>+Tabla13[[#This Row],[PF TOTAL]]</f>
        <v>22437939279</v>
      </c>
      <c r="L46" s="126"/>
      <c r="M46" s="126">
        <f>+Tabla134[[#This Row],[PF AJUSTE 1]]+Tabla134[[#This Row],[AJUSTE 2]]</f>
        <v>22437939279</v>
      </c>
    </row>
    <row r="47" spans="2:13" x14ac:dyDescent="0.2">
      <c r="B47" s="16" t="s">
        <v>1002</v>
      </c>
      <c r="C47" s="16" t="s">
        <v>1004</v>
      </c>
      <c r="D47" s="46" t="s">
        <v>1051</v>
      </c>
      <c r="E47" s="16" t="s">
        <v>1015</v>
      </c>
      <c r="F47" s="16" t="s">
        <v>1022</v>
      </c>
      <c r="G47" s="16" t="s">
        <v>1024</v>
      </c>
      <c r="H47" s="21" t="s">
        <v>67</v>
      </c>
      <c r="I47" s="18" t="str">
        <f t="shared" si="21"/>
        <v>- 52</v>
      </c>
      <c r="J47" s="22" t="s">
        <v>65</v>
      </c>
      <c r="K47" s="126">
        <f>+Tabla13[[#This Row],[PF TOTAL]]</f>
        <v>1180944172</v>
      </c>
      <c r="L47" s="126"/>
      <c r="M47" s="126">
        <f>+Tabla134[[#This Row],[PF AJUSTE 1]]+Tabla134[[#This Row],[AJUSTE 2]]</f>
        <v>1180944172</v>
      </c>
    </row>
    <row r="48" spans="2:13" x14ac:dyDescent="0.2">
      <c r="B48" s="16"/>
      <c r="C48" s="16"/>
      <c r="D48" s="16"/>
      <c r="E48" s="16"/>
      <c r="F48" s="16"/>
      <c r="G48" s="16"/>
      <c r="H48" s="21" t="s">
        <v>68</v>
      </c>
      <c r="I48" s="18"/>
      <c r="J48" s="22" t="s">
        <v>69</v>
      </c>
      <c r="K48" s="150">
        <f>+K49</f>
        <v>17445464709</v>
      </c>
      <c r="L48" s="150">
        <f t="shared" ref="L48:M48" si="23">+L49</f>
        <v>0</v>
      </c>
      <c r="M48" s="150">
        <f t="shared" si="23"/>
        <v>17445464709</v>
      </c>
    </row>
    <row r="49" spans="2:13" x14ac:dyDescent="0.2">
      <c r="B49" s="16" t="s">
        <v>1002</v>
      </c>
      <c r="C49" s="16" t="s">
        <v>1004</v>
      </c>
      <c r="D49" s="46" t="s">
        <v>1051</v>
      </c>
      <c r="E49" s="16" t="s">
        <v>1015</v>
      </c>
      <c r="F49" s="16" t="s">
        <v>1022</v>
      </c>
      <c r="G49" s="16" t="s">
        <v>1024</v>
      </c>
      <c r="H49" s="21" t="s">
        <v>70</v>
      </c>
      <c r="I49" s="18" t="str">
        <f t="shared" si="21"/>
        <v>- 61</v>
      </c>
      <c r="J49" s="22" t="s">
        <v>69</v>
      </c>
      <c r="K49" s="126">
        <f>+Tabla13[[#This Row],[PF TOTAL]]</f>
        <v>17445464709</v>
      </c>
      <c r="L49" s="126"/>
      <c r="M49" s="126">
        <f>+Tabla134[[#This Row],[PF AJUSTE 1]]+Tabla134[[#This Row],[AJUSTE 2]]</f>
        <v>17445464709</v>
      </c>
    </row>
    <row r="50" spans="2:13" s="13" customFormat="1" ht="15" x14ac:dyDescent="0.25">
      <c r="B50" s="24"/>
      <c r="C50" s="24"/>
      <c r="D50" s="24"/>
      <c r="E50" s="24"/>
      <c r="F50" s="24"/>
      <c r="G50" s="24"/>
      <c r="H50" s="17" t="s">
        <v>71</v>
      </c>
      <c r="I50" s="18"/>
      <c r="J50" s="19" t="s">
        <v>72</v>
      </c>
      <c r="K50" s="152">
        <f>+K51+K52+K53+K54+K55+K56+K57+K58</f>
        <v>113665062558</v>
      </c>
      <c r="L50" s="152">
        <f t="shared" ref="L50:M50" si="24">+L51+L52+L53+L54+L55+L56+L57+L58</f>
        <v>0</v>
      </c>
      <c r="M50" s="152">
        <f t="shared" si="24"/>
        <v>113665062558</v>
      </c>
    </row>
    <row r="51" spans="2:13" x14ac:dyDescent="0.2">
      <c r="B51" s="16" t="s">
        <v>1002</v>
      </c>
      <c r="C51" s="16" t="s">
        <v>1004</v>
      </c>
      <c r="D51" s="46" t="s">
        <v>1051</v>
      </c>
      <c r="E51" s="16" t="s">
        <v>1016</v>
      </c>
      <c r="F51" s="16" t="s">
        <v>1022</v>
      </c>
      <c r="G51" s="16" t="s">
        <v>1024</v>
      </c>
      <c r="H51" s="21" t="s">
        <v>73</v>
      </c>
      <c r="I51" s="18" t="str">
        <f t="shared" si="21"/>
        <v>- 08</v>
      </c>
      <c r="J51" s="22" t="s">
        <v>74</v>
      </c>
      <c r="K51" s="126">
        <f>+Tabla13[[#This Row],[PF TOTAL]]</f>
        <v>13710176465</v>
      </c>
      <c r="L51" s="126"/>
      <c r="M51" s="126">
        <f>+Tabla134[[#This Row],[PF AJUSTE 1]]+Tabla134[[#This Row],[AJUSTE 2]]</f>
        <v>13710176465</v>
      </c>
    </row>
    <row r="52" spans="2:13" x14ac:dyDescent="0.2">
      <c r="B52" s="16" t="s">
        <v>1002</v>
      </c>
      <c r="C52" s="16" t="s">
        <v>1004</v>
      </c>
      <c r="D52" s="46" t="s">
        <v>1051</v>
      </c>
      <c r="E52" s="16" t="s">
        <v>1016</v>
      </c>
      <c r="F52" s="16" t="s">
        <v>1022</v>
      </c>
      <c r="G52" s="16" t="s">
        <v>1024</v>
      </c>
      <c r="H52" s="21" t="s">
        <v>75</v>
      </c>
      <c r="I52" s="18" t="str">
        <f t="shared" si="21"/>
        <v>- 04</v>
      </c>
      <c r="J52" s="22" t="s">
        <v>76</v>
      </c>
      <c r="K52" s="126">
        <f>+Tabla13[[#This Row],[PF TOTAL]]</f>
        <v>17137544471</v>
      </c>
      <c r="L52" s="126"/>
      <c r="M52" s="126">
        <f>+Tabla134[[#This Row],[PF AJUSTE 1]]+Tabla134[[#This Row],[AJUSTE 2]]</f>
        <v>17137544471</v>
      </c>
    </row>
    <row r="53" spans="2:13" x14ac:dyDescent="0.2">
      <c r="B53" s="16" t="s">
        <v>1002</v>
      </c>
      <c r="C53" s="16" t="s">
        <v>1004</v>
      </c>
      <c r="D53" s="46" t="s">
        <v>1051</v>
      </c>
      <c r="E53" s="16" t="s">
        <v>1016</v>
      </c>
      <c r="F53" s="16" t="s">
        <v>1022</v>
      </c>
      <c r="G53" s="16" t="s">
        <v>1024</v>
      </c>
      <c r="H53" s="21" t="s">
        <v>77</v>
      </c>
      <c r="I53" s="18" t="str">
        <f t="shared" si="21"/>
        <v>- 05</v>
      </c>
      <c r="J53" s="22" t="s">
        <v>78</v>
      </c>
      <c r="K53" s="126">
        <f>+Tabla13[[#This Row],[PF TOTAL]]</f>
        <v>8660166246</v>
      </c>
      <c r="L53" s="126"/>
      <c r="M53" s="126">
        <f>+Tabla134[[#This Row],[PF AJUSTE 1]]+Tabla134[[#This Row],[AJUSTE 2]]</f>
        <v>8660166246</v>
      </c>
    </row>
    <row r="54" spans="2:13" x14ac:dyDescent="0.2">
      <c r="B54" s="16" t="s">
        <v>1002</v>
      </c>
      <c r="C54" s="16" t="s">
        <v>1004</v>
      </c>
      <c r="D54" s="46" t="s">
        <v>1051</v>
      </c>
      <c r="E54" s="16" t="s">
        <v>1016</v>
      </c>
      <c r="F54" s="16" t="s">
        <v>1022</v>
      </c>
      <c r="G54" s="16" t="s">
        <v>1024</v>
      </c>
      <c r="H54" s="21" t="s">
        <v>79</v>
      </c>
      <c r="I54" s="18" t="str">
        <f t="shared" si="21"/>
        <v>- 45</v>
      </c>
      <c r="J54" s="22" t="s">
        <v>80</v>
      </c>
      <c r="K54" s="126">
        <f>+Tabla13[[#This Row],[PF TOTAL]]</f>
        <v>17722331469</v>
      </c>
      <c r="L54" s="126"/>
      <c r="M54" s="126">
        <f>+Tabla134[[#This Row],[PF AJUSTE 1]]+Tabla134[[#This Row],[AJUSTE 2]]</f>
        <v>17722331469</v>
      </c>
    </row>
    <row r="55" spans="2:13" x14ac:dyDescent="0.2">
      <c r="B55" s="16" t="s">
        <v>1002</v>
      </c>
      <c r="C55" s="16" t="s">
        <v>1004</v>
      </c>
      <c r="D55" s="46" t="s">
        <v>1051</v>
      </c>
      <c r="E55" s="16" t="s">
        <v>1016</v>
      </c>
      <c r="F55" s="16" t="s">
        <v>1022</v>
      </c>
      <c r="G55" s="16" t="s">
        <v>1024</v>
      </c>
      <c r="H55" s="21" t="s">
        <v>81</v>
      </c>
      <c r="I55" s="18" t="str">
        <f t="shared" si="21"/>
        <v xml:space="preserve"> 06A</v>
      </c>
      <c r="J55" s="22" t="s">
        <v>82</v>
      </c>
      <c r="K55" s="126">
        <f>+Tabla13[[#This Row],[PF TOTAL]]</f>
        <v>29508800000</v>
      </c>
      <c r="L55" s="1"/>
      <c r="M55" s="126">
        <f>+Tabla134[[#This Row],[PF AJUSTE 1]]+Tabla134[[#This Row],[AJUSTE 2]]</f>
        <v>29508800000</v>
      </c>
    </row>
    <row r="56" spans="2:13" x14ac:dyDescent="0.2">
      <c r="B56" s="16" t="s">
        <v>1002</v>
      </c>
      <c r="C56" s="16" t="s">
        <v>1004</v>
      </c>
      <c r="D56" s="46" t="s">
        <v>1051</v>
      </c>
      <c r="E56" s="16" t="s">
        <v>1016</v>
      </c>
      <c r="F56" s="16" t="s">
        <v>1022</v>
      </c>
      <c r="G56" s="16" t="s">
        <v>1024</v>
      </c>
      <c r="H56" s="21" t="s">
        <v>965</v>
      </c>
      <c r="I56" s="18" t="s">
        <v>877</v>
      </c>
      <c r="J56" s="22" t="s">
        <v>82</v>
      </c>
      <c r="K56" s="126">
        <f>+Tabla13[[#This Row],[PF TOTAL]]</f>
        <v>1350000000</v>
      </c>
      <c r="L56" s="1"/>
      <c r="M56" s="126">
        <f>+Tabla134[[#This Row],[PF AJUSTE 1]]+Tabla134[[#This Row],[AJUSTE 2]]</f>
        <v>1350000000</v>
      </c>
    </row>
    <row r="57" spans="2:13" ht="15" customHeight="1" x14ac:dyDescent="0.2">
      <c r="B57" s="16" t="s">
        <v>1002</v>
      </c>
      <c r="C57" s="16" t="s">
        <v>1004</v>
      </c>
      <c r="D57" s="46" t="s">
        <v>1051</v>
      </c>
      <c r="E57" s="16" t="s">
        <v>1016</v>
      </c>
      <c r="F57" s="16" t="s">
        <v>1022</v>
      </c>
      <c r="G57" s="16" t="s">
        <v>1024</v>
      </c>
      <c r="H57" s="21" t="s">
        <v>83</v>
      </c>
      <c r="I57" s="18" t="str">
        <f t="shared" si="21"/>
        <v xml:space="preserve"> 12A</v>
      </c>
      <c r="J57" s="22" t="s">
        <v>84</v>
      </c>
      <c r="K57" s="126">
        <f>+Tabla13[[#This Row],[PF TOTAL]]</f>
        <v>15379328550</v>
      </c>
      <c r="L57" s="126"/>
      <c r="M57" s="126">
        <f>+Tabla134[[#This Row],[PF AJUSTE 1]]+Tabla134[[#This Row],[AJUSTE 2]]</f>
        <v>15379328550</v>
      </c>
    </row>
    <row r="58" spans="2:13" ht="15" customHeight="1" x14ac:dyDescent="0.2">
      <c r="B58" s="16" t="s">
        <v>1002</v>
      </c>
      <c r="C58" s="16" t="s">
        <v>1004</v>
      </c>
      <c r="D58" s="46" t="s">
        <v>1051</v>
      </c>
      <c r="E58" s="16" t="s">
        <v>1016</v>
      </c>
      <c r="F58" s="16" t="s">
        <v>1022</v>
      </c>
      <c r="G58" s="16" t="s">
        <v>1024</v>
      </c>
      <c r="H58" s="21" t="s">
        <v>991</v>
      </c>
      <c r="I58" s="18">
        <v>47</v>
      </c>
      <c r="J58" s="22" t="s">
        <v>968</v>
      </c>
      <c r="K58" s="126">
        <f>+Tabla13[[#This Row],[PF TOTAL]]</f>
        <v>10196715357</v>
      </c>
      <c r="L58" s="126"/>
      <c r="M58" s="126">
        <f>+Tabla134[[#This Row],[PF AJUSTE 1]]+Tabla134[[#This Row],[AJUSTE 2]]</f>
        <v>10196715357</v>
      </c>
    </row>
    <row r="59" spans="2:13" s="13" customFormat="1" ht="15.75" customHeight="1" x14ac:dyDescent="0.25">
      <c r="B59" s="24"/>
      <c r="C59" s="24"/>
      <c r="D59" s="24"/>
      <c r="E59" s="24"/>
      <c r="F59" s="24"/>
      <c r="G59" s="24"/>
      <c r="H59" s="17" t="s">
        <v>85</v>
      </c>
      <c r="I59" s="18"/>
      <c r="J59" s="19" t="s">
        <v>86</v>
      </c>
      <c r="K59" s="152">
        <f>+K60+K64+K73+K99+K116</f>
        <v>59311510793</v>
      </c>
      <c r="L59" s="152">
        <f t="shared" ref="L59:M59" si="25">+L60+L64+L73+L99+L116</f>
        <v>0</v>
      </c>
      <c r="M59" s="152">
        <f t="shared" si="25"/>
        <v>59311510793</v>
      </c>
    </row>
    <row r="60" spans="2:13" s="13" customFormat="1" ht="15.75" customHeight="1" x14ac:dyDescent="0.25">
      <c r="B60" s="24"/>
      <c r="C60" s="24"/>
      <c r="D60" s="24"/>
      <c r="E60" s="24"/>
      <c r="F60" s="24"/>
      <c r="G60" s="24"/>
      <c r="H60" s="17" t="s">
        <v>87</v>
      </c>
      <c r="I60" s="18"/>
      <c r="J60" s="19" t="s">
        <v>88</v>
      </c>
      <c r="K60" s="152">
        <f t="shared" ref="K60:M62" si="26">+K61</f>
        <v>757040488</v>
      </c>
      <c r="L60" s="152">
        <f t="shared" si="26"/>
        <v>0</v>
      </c>
      <c r="M60" s="152">
        <f t="shared" si="26"/>
        <v>757040488</v>
      </c>
    </row>
    <row r="61" spans="2:13" ht="15" customHeight="1" x14ac:dyDescent="0.2">
      <c r="B61" s="16"/>
      <c r="C61" s="16"/>
      <c r="D61" s="16"/>
      <c r="E61" s="16"/>
      <c r="F61" s="16"/>
      <c r="G61" s="16"/>
      <c r="H61" s="21" t="s">
        <v>89</v>
      </c>
      <c r="I61" s="18"/>
      <c r="J61" s="22" t="s">
        <v>90</v>
      </c>
      <c r="K61" s="150">
        <f t="shared" si="26"/>
        <v>757040488</v>
      </c>
      <c r="L61" s="150">
        <f t="shared" si="26"/>
        <v>0</v>
      </c>
      <c r="M61" s="150">
        <f t="shared" si="26"/>
        <v>757040488</v>
      </c>
    </row>
    <row r="62" spans="2:13" ht="15" customHeight="1" x14ac:dyDescent="0.2">
      <c r="B62" s="16"/>
      <c r="C62" s="16"/>
      <c r="D62" s="16"/>
      <c r="E62" s="16"/>
      <c r="F62" s="16"/>
      <c r="G62" s="16"/>
      <c r="H62" s="21" t="s">
        <v>91</v>
      </c>
      <c r="I62" s="18"/>
      <c r="J62" s="22" t="s">
        <v>92</v>
      </c>
      <c r="K62" s="150">
        <f>+K63</f>
        <v>757040488</v>
      </c>
      <c r="L62" s="150">
        <f t="shared" si="26"/>
        <v>0</v>
      </c>
      <c r="M62" s="150">
        <f t="shared" si="26"/>
        <v>757040488</v>
      </c>
    </row>
    <row r="63" spans="2:13" ht="15" customHeight="1" x14ac:dyDescent="0.2">
      <c r="B63" s="16" t="s">
        <v>1002</v>
      </c>
      <c r="C63" s="16" t="s">
        <v>1004</v>
      </c>
      <c r="D63" s="46" t="s">
        <v>1051</v>
      </c>
      <c r="E63" s="16" t="s">
        <v>1015</v>
      </c>
      <c r="F63" s="16" t="s">
        <v>1022</v>
      </c>
      <c r="G63" s="16" t="s">
        <v>1025</v>
      </c>
      <c r="H63" s="21" t="s">
        <v>93</v>
      </c>
      <c r="I63" s="18" t="str">
        <f>RIGHT(H63,4)</f>
        <v>- 18</v>
      </c>
      <c r="J63" s="22" t="s">
        <v>92</v>
      </c>
      <c r="K63" s="126">
        <f>+Tabla13[[#This Row],[PF TOTAL]]</f>
        <v>757040488</v>
      </c>
      <c r="L63" s="126"/>
      <c r="M63" s="126">
        <f>+Tabla134[[#This Row],[PF AJUSTE 1]]+Tabla134[[#This Row],[AJUSTE 2]]</f>
        <v>757040488</v>
      </c>
    </row>
    <row r="64" spans="2:13" s="13" customFormat="1" ht="15.75" customHeight="1" x14ac:dyDescent="0.25">
      <c r="B64" s="24"/>
      <c r="C64" s="24"/>
      <c r="D64" s="24"/>
      <c r="E64" s="24"/>
      <c r="F64" s="24"/>
      <c r="G64" s="24"/>
      <c r="H64" s="17" t="s">
        <v>94</v>
      </c>
      <c r="I64" s="18"/>
      <c r="J64" s="19" t="s">
        <v>95</v>
      </c>
      <c r="K64" s="152">
        <f>+K65+K71</f>
        <v>1532988480</v>
      </c>
      <c r="L64" s="152">
        <f t="shared" ref="L64:M64" si="27">+L65+L71</f>
        <v>0</v>
      </c>
      <c r="M64" s="152">
        <f t="shared" si="27"/>
        <v>1532988480</v>
      </c>
    </row>
    <row r="65" spans="2:13" ht="15" customHeight="1" x14ac:dyDescent="0.2">
      <c r="B65" s="16"/>
      <c r="C65" s="16"/>
      <c r="D65" s="16"/>
      <c r="E65" s="16"/>
      <c r="F65" s="16"/>
      <c r="G65" s="16"/>
      <c r="H65" s="21" t="s">
        <v>96</v>
      </c>
      <c r="I65" s="18"/>
      <c r="J65" s="22" t="s">
        <v>97</v>
      </c>
      <c r="K65" s="150">
        <f>+K66+K67+K68+K69+K70</f>
        <v>732988480</v>
      </c>
      <c r="L65" s="150">
        <f t="shared" ref="L65:M65" si="28">+L66+L67+L68+L69+L70</f>
        <v>0</v>
      </c>
      <c r="M65" s="150">
        <f t="shared" si="28"/>
        <v>732988480</v>
      </c>
    </row>
    <row r="66" spans="2:13" ht="15" customHeight="1" x14ac:dyDescent="0.2">
      <c r="B66" s="16" t="s">
        <v>1002</v>
      </c>
      <c r="C66" s="16" t="s">
        <v>1004</v>
      </c>
      <c r="D66" s="46" t="s">
        <v>1051</v>
      </c>
      <c r="E66" s="16" t="s">
        <v>1013</v>
      </c>
      <c r="F66" s="16" t="s">
        <v>1022</v>
      </c>
      <c r="G66" s="16" t="s">
        <v>1025</v>
      </c>
      <c r="H66" s="21" t="s">
        <v>98</v>
      </c>
      <c r="I66" s="18" t="str">
        <f t="shared" ref="I66:I72" si="29">RIGHT(H66,4)</f>
        <v>- 20</v>
      </c>
      <c r="J66" s="22" t="s">
        <v>99</v>
      </c>
      <c r="K66" s="126">
        <f>+Tabla13[[#This Row],[PF TOTAL]]</f>
        <v>24752070</v>
      </c>
      <c r="L66" s="126"/>
      <c r="M66" s="126">
        <f>+Tabla134[[#This Row],[PF AJUSTE 1]]+Tabla134[[#This Row],[AJUSTE 2]]</f>
        <v>24752070</v>
      </c>
    </row>
    <row r="67" spans="2:13" ht="15" customHeight="1" x14ac:dyDescent="0.2">
      <c r="B67" s="16" t="s">
        <v>1002</v>
      </c>
      <c r="C67" s="16" t="s">
        <v>1004</v>
      </c>
      <c r="D67" s="46" t="s">
        <v>1051</v>
      </c>
      <c r="E67" s="16" t="s">
        <v>1013</v>
      </c>
      <c r="F67" s="16" t="s">
        <v>1022</v>
      </c>
      <c r="G67" s="16" t="s">
        <v>1025</v>
      </c>
      <c r="H67" s="21" t="s">
        <v>100</v>
      </c>
      <c r="I67" s="18" t="str">
        <f t="shared" si="29"/>
        <v>- 20</v>
      </c>
      <c r="J67" s="22" t="s">
        <v>101</v>
      </c>
      <c r="K67" s="126">
        <f>+Tabla13[[#This Row],[PF TOTAL]]</f>
        <v>700000000</v>
      </c>
      <c r="L67" s="126"/>
      <c r="M67" s="126">
        <f>+Tabla134[[#This Row],[PF AJUSTE 1]]+Tabla134[[#This Row],[AJUSTE 2]]</f>
        <v>700000000</v>
      </c>
    </row>
    <row r="68" spans="2:13" ht="15" customHeight="1" x14ac:dyDescent="0.2">
      <c r="B68" s="16" t="s">
        <v>1002</v>
      </c>
      <c r="C68" s="16" t="s">
        <v>1004</v>
      </c>
      <c r="D68" s="46" t="s">
        <v>1051</v>
      </c>
      <c r="E68" s="16" t="s">
        <v>1013</v>
      </c>
      <c r="F68" s="16" t="s">
        <v>1022</v>
      </c>
      <c r="G68" s="16" t="s">
        <v>1025</v>
      </c>
      <c r="H68" s="21" t="s">
        <v>102</v>
      </c>
      <c r="I68" s="18" t="str">
        <f t="shared" si="29"/>
        <v>- 20</v>
      </c>
      <c r="J68" s="22" t="s">
        <v>103</v>
      </c>
      <c r="K68" s="126">
        <f>+Tabla13[[#This Row],[PF TOTAL]]</f>
        <v>0</v>
      </c>
      <c r="L68" s="126"/>
      <c r="M68" s="126">
        <f>+Tabla134[[#This Row],[PF AJUSTE 1]]+Tabla134[[#This Row],[AJUSTE 2]]</f>
        <v>0</v>
      </c>
    </row>
    <row r="69" spans="2:13" ht="15" customHeight="1" x14ac:dyDescent="0.2">
      <c r="B69" s="16" t="s">
        <v>1002</v>
      </c>
      <c r="C69" s="16" t="s">
        <v>1004</v>
      </c>
      <c r="D69" s="46" t="s">
        <v>1051</v>
      </c>
      <c r="E69" s="16" t="s">
        <v>1013</v>
      </c>
      <c r="F69" s="16" t="s">
        <v>1022</v>
      </c>
      <c r="G69" s="16" t="s">
        <v>1025</v>
      </c>
      <c r="H69" s="21" t="s">
        <v>104</v>
      </c>
      <c r="I69" s="18" t="str">
        <f t="shared" si="29"/>
        <v>- 20</v>
      </c>
      <c r="J69" s="22" t="s">
        <v>105</v>
      </c>
      <c r="K69" s="126">
        <f>+Tabla13[[#This Row],[PF TOTAL]]</f>
        <v>1274490</v>
      </c>
      <c r="L69" s="126"/>
      <c r="M69" s="126">
        <f>+Tabla134[[#This Row],[PF AJUSTE 1]]+Tabla134[[#This Row],[AJUSTE 2]]</f>
        <v>1274490</v>
      </c>
    </row>
    <row r="70" spans="2:13" ht="15" customHeight="1" x14ac:dyDescent="0.2">
      <c r="B70" s="16" t="s">
        <v>1002</v>
      </c>
      <c r="C70" s="16" t="s">
        <v>1004</v>
      </c>
      <c r="D70" s="46" t="s">
        <v>1051</v>
      </c>
      <c r="E70" s="16" t="s">
        <v>1013</v>
      </c>
      <c r="F70" s="16" t="s">
        <v>1022</v>
      </c>
      <c r="G70" s="16" t="s">
        <v>1025</v>
      </c>
      <c r="H70" s="21" t="s">
        <v>106</v>
      </c>
      <c r="I70" s="18" t="str">
        <f t="shared" si="29"/>
        <v>- 20</v>
      </c>
      <c r="J70" s="22" t="s">
        <v>107</v>
      </c>
      <c r="K70" s="126">
        <f>+Tabla13[[#This Row],[PF TOTAL]]</f>
        <v>6961920</v>
      </c>
      <c r="L70" s="126"/>
      <c r="M70" s="126">
        <f>+Tabla134[[#This Row],[PF AJUSTE 1]]+Tabla134[[#This Row],[AJUSTE 2]]</f>
        <v>6961920</v>
      </c>
    </row>
    <row r="71" spans="2:13" ht="15" customHeight="1" x14ac:dyDescent="0.2">
      <c r="B71" s="16"/>
      <c r="C71" s="16"/>
      <c r="D71" s="16"/>
      <c r="E71" s="16"/>
      <c r="F71" s="16"/>
      <c r="G71" s="16"/>
      <c r="H71" s="21" t="s">
        <v>108</v>
      </c>
      <c r="I71" s="18"/>
      <c r="J71" s="22" t="s">
        <v>109</v>
      </c>
      <c r="K71" s="150">
        <f>+K72</f>
        <v>800000000</v>
      </c>
      <c r="L71" s="150">
        <f t="shared" ref="L71:M71" si="30">+L72</f>
        <v>0</v>
      </c>
      <c r="M71" s="150">
        <f t="shared" si="30"/>
        <v>800000000</v>
      </c>
    </row>
    <row r="72" spans="2:13" ht="15" customHeight="1" x14ac:dyDescent="0.2">
      <c r="B72" s="16" t="s">
        <v>1002</v>
      </c>
      <c r="C72" s="16" t="s">
        <v>1004</v>
      </c>
      <c r="D72" s="46" t="s">
        <v>1051</v>
      </c>
      <c r="E72" s="16" t="s">
        <v>1013</v>
      </c>
      <c r="F72" s="16" t="s">
        <v>1022</v>
      </c>
      <c r="G72" s="16" t="s">
        <v>1025</v>
      </c>
      <c r="H72" s="21" t="s">
        <v>110</v>
      </c>
      <c r="I72" s="18" t="str">
        <f t="shared" si="29"/>
        <v>- 20</v>
      </c>
      <c r="J72" s="22" t="s">
        <v>109</v>
      </c>
      <c r="K72" s="126">
        <f>+Tabla13[[#This Row],[PF TOTAL]]</f>
        <v>800000000</v>
      </c>
      <c r="L72" s="126"/>
      <c r="M72" s="126">
        <f>+Tabla134[[#This Row],[PF AJUSTE 1]]+Tabla134[[#This Row],[AJUSTE 2]]</f>
        <v>800000000</v>
      </c>
    </row>
    <row r="73" spans="2:13" s="13" customFormat="1" ht="15.75" customHeight="1" x14ac:dyDescent="0.25">
      <c r="B73" s="24"/>
      <c r="C73" s="24"/>
      <c r="D73" s="24"/>
      <c r="E73" s="24"/>
      <c r="F73" s="24"/>
      <c r="G73" s="24"/>
      <c r="H73" s="17" t="s">
        <v>111</v>
      </c>
      <c r="I73" s="18"/>
      <c r="J73" s="19" t="s">
        <v>112</v>
      </c>
      <c r="K73" s="152">
        <f>+K74</f>
        <v>117306000</v>
      </c>
      <c r="L73" s="152">
        <f t="shared" ref="L73:M73" si="31">+L74</f>
        <v>0</v>
      </c>
      <c r="M73" s="152">
        <f t="shared" si="31"/>
        <v>117306000</v>
      </c>
    </row>
    <row r="74" spans="2:13" ht="15" customHeight="1" x14ac:dyDescent="0.2">
      <c r="B74" s="16"/>
      <c r="C74" s="16"/>
      <c r="D74" s="16"/>
      <c r="E74" s="16"/>
      <c r="F74" s="16"/>
      <c r="G74" s="16"/>
      <c r="H74" s="21" t="s">
        <v>113</v>
      </c>
      <c r="I74" s="18"/>
      <c r="J74" s="22" t="s">
        <v>114</v>
      </c>
      <c r="K74" s="150">
        <f>+K75+K84+K89</f>
        <v>117306000</v>
      </c>
      <c r="L74" s="150">
        <f t="shared" ref="L74:M74" si="32">+L75+L84+L89</f>
        <v>0</v>
      </c>
      <c r="M74" s="150">
        <f t="shared" si="32"/>
        <v>117306000</v>
      </c>
    </row>
    <row r="75" spans="2:13" ht="15" customHeight="1" x14ac:dyDescent="0.2">
      <c r="B75" s="16"/>
      <c r="C75" s="16"/>
      <c r="D75" s="16"/>
      <c r="E75" s="16"/>
      <c r="F75" s="16"/>
      <c r="G75" s="16"/>
      <c r="H75" s="21" t="s">
        <v>115</v>
      </c>
      <c r="I75" s="18"/>
      <c r="J75" s="22" t="s">
        <v>116</v>
      </c>
      <c r="K75" s="150">
        <f t="shared" ref="K75:M78" si="33">+K76</f>
        <v>0</v>
      </c>
      <c r="L75" s="150">
        <f t="shared" si="33"/>
        <v>0</v>
      </c>
      <c r="M75" s="150">
        <f t="shared" si="33"/>
        <v>0</v>
      </c>
    </row>
    <row r="76" spans="2:13" ht="15" customHeight="1" x14ac:dyDescent="0.2">
      <c r="B76" s="16"/>
      <c r="C76" s="16"/>
      <c r="D76" s="16"/>
      <c r="E76" s="16"/>
      <c r="F76" s="16"/>
      <c r="G76" s="16"/>
      <c r="H76" s="21" t="s">
        <v>117</v>
      </c>
      <c r="I76" s="18"/>
      <c r="J76" s="22" t="s">
        <v>118</v>
      </c>
      <c r="K76" s="150">
        <f t="shared" si="33"/>
        <v>0</v>
      </c>
      <c r="L76" s="150">
        <f t="shared" si="33"/>
        <v>0</v>
      </c>
      <c r="M76" s="150">
        <f t="shared" si="33"/>
        <v>0</v>
      </c>
    </row>
    <row r="77" spans="2:13" ht="15" customHeight="1" x14ac:dyDescent="0.2">
      <c r="B77" s="16"/>
      <c r="C77" s="16"/>
      <c r="D77" s="16"/>
      <c r="E77" s="16"/>
      <c r="F77" s="16"/>
      <c r="G77" s="16"/>
      <c r="H77" s="21" t="s">
        <v>119</v>
      </c>
      <c r="I77" s="18"/>
      <c r="J77" s="22" t="s">
        <v>120</v>
      </c>
      <c r="K77" s="150">
        <f t="shared" si="33"/>
        <v>0</v>
      </c>
      <c r="L77" s="150">
        <f t="shared" si="33"/>
        <v>0</v>
      </c>
      <c r="M77" s="150">
        <f t="shared" si="33"/>
        <v>0</v>
      </c>
    </row>
    <row r="78" spans="2:13" ht="15" customHeight="1" x14ac:dyDescent="0.2">
      <c r="B78" s="16"/>
      <c r="C78" s="16"/>
      <c r="D78" s="16"/>
      <c r="E78" s="16"/>
      <c r="F78" s="16"/>
      <c r="G78" s="16"/>
      <c r="H78" s="21" t="s">
        <v>121</v>
      </c>
      <c r="I78" s="18"/>
      <c r="J78" s="22" t="s">
        <v>122</v>
      </c>
      <c r="K78" s="150">
        <f>+K79</f>
        <v>0</v>
      </c>
      <c r="L78" s="150">
        <f t="shared" si="33"/>
        <v>0</v>
      </c>
      <c r="M78" s="150">
        <f t="shared" si="33"/>
        <v>0</v>
      </c>
    </row>
    <row r="79" spans="2:13" ht="15" customHeight="1" x14ac:dyDescent="0.2">
      <c r="B79" s="16" t="s">
        <v>1002</v>
      </c>
      <c r="C79" s="16" t="s">
        <v>1004</v>
      </c>
      <c r="D79" s="46" t="s">
        <v>1051</v>
      </c>
      <c r="E79" s="16" t="s">
        <v>1015</v>
      </c>
      <c r="F79" s="16" t="s">
        <v>1022</v>
      </c>
      <c r="G79" s="16" t="s">
        <v>1025</v>
      </c>
      <c r="H79" s="21" t="s">
        <v>123</v>
      </c>
      <c r="I79" s="18" t="str">
        <f>RIGHT(H79,4)</f>
        <v>- 13</v>
      </c>
      <c r="J79" s="22" t="s">
        <v>124</v>
      </c>
      <c r="K79" s="126">
        <f>+Tabla13[[#This Row],[PF TOTAL]]</f>
        <v>0</v>
      </c>
      <c r="L79" s="126"/>
      <c r="M79" s="126">
        <f>+Tabla134[[#This Row],[PF AJUSTE 1]]+Tabla134[[#This Row],[AJUSTE 2]]</f>
        <v>0</v>
      </c>
    </row>
    <row r="80" spans="2:13" ht="15" customHeight="1" x14ac:dyDescent="0.2">
      <c r="B80" s="16"/>
      <c r="C80" s="16"/>
      <c r="D80" s="16"/>
      <c r="E80" s="16"/>
      <c r="F80" s="16"/>
      <c r="G80" s="16"/>
      <c r="H80" s="21" t="s">
        <v>125</v>
      </c>
      <c r="I80" s="18"/>
      <c r="J80" s="22" t="s">
        <v>126</v>
      </c>
      <c r="K80" s="150">
        <f t="shared" ref="K80:M82" si="34">+K81</f>
        <v>0</v>
      </c>
      <c r="L80" s="150">
        <f t="shared" si="34"/>
        <v>0</v>
      </c>
      <c r="M80" s="150">
        <f t="shared" si="34"/>
        <v>0</v>
      </c>
    </row>
    <row r="81" spans="2:13" ht="15" customHeight="1" x14ac:dyDescent="0.2">
      <c r="B81" s="16"/>
      <c r="C81" s="16"/>
      <c r="D81" s="16"/>
      <c r="E81" s="16"/>
      <c r="F81" s="16"/>
      <c r="G81" s="16"/>
      <c r="H81" s="21" t="s">
        <v>127</v>
      </c>
      <c r="I81" s="18"/>
      <c r="J81" s="22" t="s">
        <v>128</v>
      </c>
      <c r="K81" s="150">
        <f t="shared" si="34"/>
        <v>0</v>
      </c>
      <c r="L81" s="150">
        <f t="shared" si="34"/>
        <v>0</v>
      </c>
      <c r="M81" s="150">
        <f t="shared" si="34"/>
        <v>0</v>
      </c>
    </row>
    <row r="82" spans="2:13" ht="15" customHeight="1" x14ac:dyDescent="0.2">
      <c r="B82" s="16"/>
      <c r="C82" s="16"/>
      <c r="D82" s="16"/>
      <c r="E82" s="16"/>
      <c r="F82" s="16"/>
      <c r="G82" s="16"/>
      <c r="H82" s="21" t="s">
        <v>129</v>
      </c>
      <c r="I82" s="18"/>
      <c r="J82" s="22" t="s">
        <v>130</v>
      </c>
      <c r="K82" s="150">
        <f>+K83</f>
        <v>0</v>
      </c>
      <c r="L82" s="150">
        <f t="shared" si="34"/>
        <v>0</v>
      </c>
      <c r="M82" s="150">
        <f t="shared" si="34"/>
        <v>0</v>
      </c>
    </row>
    <row r="83" spans="2:13" ht="15" customHeight="1" x14ac:dyDescent="0.2">
      <c r="B83" s="16" t="s">
        <v>1002</v>
      </c>
      <c r="C83" s="16" t="s">
        <v>1004</v>
      </c>
      <c r="D83" s="46" t="s">
        <v>1051</v>
      </c>
      <c r="E83" s="16" t="s">
        <v>1015</v>
      </c>
      <c r="F83" s="16" t="s">
        <v>1022</v>
      </c>
      <c r="G83" s="16" t="s">
        <v>1025</v>
      </c>
      <c r="H83" s="21" t="s">
        <v>131</v>
      </c>
      <c r="I83" s="18" t="str">
        <f>RIGHT(H83,4)</f>
        <v>- 13</v>
      </c>
      <c r="J83" s="22" t="s">
        <v>132</v>
      </c>
      <c r="K83" s="126">
        <f>+Tabla13[[#This Row],[PF TOTAL]]</f>
        <v>0</v>
      </c>
      <c r="L83" s="126"/>
      <c r="M83" s="126">
        <f>+Tabla134[[#This Row],[PF AJUSTE 1]]+Tabla134[[#This Row],[AJUSTE 2]]</f>
        <v>0</v>
      </c>
    </row>
    <row r="84" spans="2:13" ht="15" customHeight="1" x14ac:dyDescent="0.2">
      <c r="B84" s="16"/>
      <c r="C84" s="16"/>
      <c r="D84" s="16"/>
      <c r="E84" s="16"/>
      <c r="F84" s="16"/>
      <c r="G84" s="16"/>
      <c r="H84" s="21" t="s">
        <v>133</v>
      </c>
      <c r="I84" s="18"/>
      <c r="J84" s="22" t="s">
        <v>134</v>
      </c>
      <c r="K84" s="150">
        <f t="shared" ref="K84:M87" si="35">+K85</f>
        <v>0</v>
      </c>
      <c r="L84" s="150">
        <f t="shared" si="35"/>
        <v>0</v>
      </c>
      <c r="M84" s="150">
        <f t="shared" si="35"/>
        <v>0</v>
      </c>
    </row>
    <row r="85" spans="2:13" ht="15" customHeight="1" x14ac:dyDescent="0.2">
      <c r="B85" s="16"/>
      <c r="C85" s="16"/>
      <c r="D85" s="16"/>
      <c r="E85" s="16"/>
      <c r="F85" s="16"/>
      <c r="G85" s="16"/>
      <c r="H85" s="21" t="s">
        <v>135</v>
      </c>
      <c r="I85" s="18"/>
      <c r="J85" s="22" t="s">
        <v>136</v>
      </c>
      <c r="K85" s="150">
        <f t="shared" si="35"/>
        <v>0</v>
      </c>
      <c r="L85" s="150">
        <f t="shared" si="35"/>
        <v>0</v>
      </c>
      <c r="M85" s="150">
        <f t="shared" si="35"/>
        <v>0</v>
      </c>
    </row>
    <row r="86" spans="2:13" ht="15" customHeight="1" x14ac:dyDescent="0.2">
      <c r="B86" s="16"/>
      <c r="C86" s="16"/>
      <c r="D86" s="16"/>
      <c r="E86" s="16"/>
      <c r="F86" s="16"/>
      <c r="G86" s="16"/>
      <c r="H86" s="21" t="s">
        <v>137</v>
      </c>
      <c r="I86" s="18"/>
      <c r="J86" s="22" t="s">
        <v>138</v>
      </c>
      <c r="K86" s="150">
        <f t="shared" si="35"/>
        <v>0</v>
      </c>
      <c r="L86" s="150">
        <f t="shared" si="35"/>
        <v>0</v>
      </c>
      <c r="M86" s="150">
        <f t="shared" si="35"/>
        <v>0</v>
      </c>
    </row>
    <row r="87" spans="2:13" ht="15" customHeight="1" x14ac:dyDescent="0.2">
      <c r="B87" s="16"/>
      <c r="C87" s="16"/>
      <c r="D87" s="16"/>
      <c r="E87" s="16"/>
      <c r="F87" s="16"/>
      <c r="G87" s="16"/>
      <c r="H87" s="21" t="s">
        <v>139</v>
      </c>
      <c r="I87" s="18"/>
      <c r="J87" s="22" t="s">
        <v>140</v>
      </c>
      <c r="K87" s="150">
        <f>+K88</f>
        <v>0</v>
      </c>
      <c r="L87" s="150">
        <f t="shared" si="35"/>
        <v>0</v>
      </c>
      <c r="M87" s="150">
        <f t="shared" si="35"/>
        <v>0</v>
      </c>
    </row>
    <row r="88" spans="2:13" ht="30" customHeight="1" x14ac:dyDescent="0.2">
      <c r="B88" s="16" t="s">
        <v>1002</v>
      </c>
      <c r="C88" s="16" t="s">
        <v>1004</v>
      </c>
      <c r="D88" s="46" t="s">
        <v>1051</v>
      </c>
      <c r="E88" s="16" t="s">
        <v>1013</v>
      </c>
      <c r="F88" s="16" t="s">
        <v>1022</v>
      </c>
      <c r="G88" s="16" t="s">
        <v>1025</v>
      </c>
      <c r="H88" s="21" t="s">
        <v>141</v>
      </c>
      <c r="I88" s="18" t="str">
        <f>RIGHT(H88,4)</f>
        <v>- 20</v>
      </c>
      <c r="J88" s="22" t="s">
        <v>142</v>
      </c>
      <c r="K88" s="126">
        <f>+Tabla13[[#This Row],[PF TOTAL]]</f>
        <v>0</v>
      </c>
      <c r="L88" s="126"/>
      <c r="M88" s="126"/>
    </row>
    <row r="89" spans="2:13" ht="15" customHeight="1" x14ac:dyDescent="0.2">
      <c r="B89" s="16"/>
      <c r="C89" s="16"/>
      <c r="D89" s="16"/>
      <c r="E89" s="16"/>
      <c r="F89" s="16"/>
      <c r="G89" s="16"/>
      <c r="H89" s="21" t="s">
        <v>143</v>
      </c>
      <c r="I89" s="18"/>
      <c r="J89" s="22" t="s">
        <v>144</v>
      </c>
      <c r="K89" s="150">
        <f t="shared" ref="K89:M93" si="36">+K90</f>
        <v>117306000</v>
      </c>
      <c r="L89" s="150">
        <f t="shared" si="36"/>
        <v>0</v>
      </c>
      <c r="M89" s="150">
        <f t="shared" si="36"/>
        <v>117306000</v>
      </c>
    </row>
    <row r="90" spans="2:13" ht="30" customHeight="1" x14ac:dyDescent="0.2">
      <c r="B90" s="16"/>
      <c r="C90" s="16"/>
      <c r="D90" s="16"/>
      <c r="E90" s="16"/>
      <c r="F90" s="16"/>
      <c r="G90" s="16"/>
      <c r="H90" s="21" t="s">
        <v>145</v>
      </c>
      <c r="I90" s="18"/>
      <c r="J90" s="22" t="s">
        <v>146</v>
      </c>
      <c r="K90" s="150">
        <f t="shared" si="36"/>
        <v>117306000</v>
      </c>
      <c r="L90" s="150">
        <f t="shared" si="36"/>
        <v>0</v>
      </c>
      <c r="M90" s="150">
        <f t="shared" si="36"/>
        <v>117306000</v>
      </c>
    </row>
    <row r="91" spans="2:13" ht="15" customHeight="1" x14ac:dyDescent="0.2">
      <c r="B91" s="16"/>
      <c r="C91" s="16"/>
      <c r="D91" s="16"/>
      <c r="E91" s="16"/>
      <c r="F91" s="16"/>
      <c r="G91" s="16"/>
      <c r="H91" s="21" t="s">
        <v>147</v>
      </c>
      <c r="I91" s="18"/>
      <c r="J91" s="22" t="s">
        <v>148</v>
      </c>
      <c r="K91" s="150">
        <f>+K92+K95</f>
        <v>117306000</v>
      </c>
      <c r="L91" s="150">
        <f t="shared" ref="L91:M91" si="37">+L92+L95</f>
        <v>0</v>
      </c>
      <c r="M91" s="150">
        <f t="shared" si="37"/>
        <v>117306000</v>
      </c>
    </row>
    <row r="92" spans="2:13" ht="30" customHeight="1" x14ac:dyDescent="0.2">
      <c r="B92" s="16"/>
      <c r="C92" s="16"/>
      <c r="D92" s="16"/>
      <c r="E92" s="16"/>
      <c r="F92" s="16"/>
      <c r="G92" s="16"/>
      <c r="H92" s="21" t="s">
        <v>149</v>
      </c>
      <c r="I92" s="18"/>
      <c r="J92" s="22" t="s">
        <v>150</v>
      </c>
      <c r="K92" s="150">
        <f t="shared" si="36"/>
        <v>0</v>
      </c>
      <c r="L92" s="150">
        <f t="shared" si="36"/>
        <v>0</v>
      </c>
      <c r="M92" s="150">
        <f t="shared" si="36"/>
        <v>0</v>
      </c>
    </row>
    <row r="93" spans="2:13" ht="30" customHeight="1" x14ac:dyDescent="0.2">
      <c r="B93" s="16"/>
      <c r="C93" s="16"/>
      <c r="D93" s="16"/>
      <c r="E93" s="16"/>
      <c r="F93" s="16"/>
      <c r="G93" s="16"/>
      <c r="H93" s="21" t="s">
        <v>151</v>
      </c>
      <c r="I93" s="18"/>
      <c r="J93" s="22" t="s">
        <v>152</v>
      </c>
      <c r="K93" s="150">
        <f>+K94</f>
        <v>0</v>
      </c>
      <c r="L93" s="150">
        <f t="shared" si="36"/>
        <v>0</v>
      </c>
      <c r="M93" s="150">
        <f t="shared" si="36"/>
        <v>0</v>
      </c>
    </row>
    <row r="94" spans="2:13" ht="30" customHeight="1" x14ac:dyDescent="0.2">
      <c r="B94" s="16" t="s">
        <v>1002</v>
      </c>
      <c r="C94" s="16" t="s">
        <v>1004</v>
      </c>
      <c r="D94" s="46" t="s">
        <v>1051</v>
      </c>
      <c r="E94" s="16" t="s">
        <v>1015</v>
      </c>
      <c r="F94" s="16" t="s">
        <v>1022</v>
      </c>
      <c r="G94" s="16" t="s">
        <v>1025</v>
      </c>
      <c r="H94" s="21" t="s">
        <v>153</v>
      </c>
      <c r="I94" s="18" t="str">
        <f>RIGHT(H94,4)</f>
        <v xml:space="preserve"> 152</v>
      </c>
      <c r="J94" s="22" t="s">
        <v>154</v>
      </c>
      <c r="K94" s="126">
        <f>+Tabla13[[#This Row],[PF TOTAL]]</f>
        <v>0</v>
      </c>
      <c r="L94" s="126"/>
      <c r="M94" s="126">
        <f>+Tabla134[[#This Row],[PF AJUSTE 1]]+Tabla134[[#This Row],[AJUSTE 2]]</f>
        <v>0</v>
      </c>
    </row>
    <row r="95" spans="2:13" ht="15" customHeight="1" x14ac:dyDescent="0.2">
      <c r="B95" s="16"/>
      <c r="C95" s="16"/>
      <c r="D95" s="16"/>
      <c r="E95" s="16"/>
      <c r="F95" s="16"/>
      <c r="G95" s="16"/>
      <c r="H95" s="21" t="s">
        <v>155</v>
      </c>
      <c r="I95" s="18"/>
      <c r="J95" s="22" t="s">
        <v>156</v>
      </c>
      <c r="K95" s="150">
        <f>+K96</f>
        <v>117306000</v>
      </c>
      <c r="L95" s="150">
        <f t="shared" ref="L95:M95" si="38">+L96</f>
        <v>0</v>
      </c>
      <c r="M95" s="150">
        <f t="shared" si="38"/>
        <v>117306000</v>
      </c>
    </row>
    <row r="96" spans="2:13" ht="15" customHeight="1" x14ac:dyDescent="0.2">
      <c r="B96" s="16"/>
      <c r="C96" s="16"/>
      <c r="D96" s="16"/>
      <c r="E96" s="16"/>
      <c r="F96" s="16"/>
      <c r="G96" s="16"/>
      <c r="H96" s="21" t="s">
        <v>157</v>
      </c>
      <c r="I96" s="18"/>
      <c r="J96" s="22" t="s">
        <v>158</v>
      </c>
      <c r="K96" s="150">
        <f>+K97+K98</f>
        <v>117306000</v>
      </c>
      <c r="L96" s="150">
        <f t="shared" ref="L96:M96" si="39">+L97+L98</f>
        <v>0</v>
      </c>
      <c r="M96" s="150">
        <f t="shared" si="39"/>
        <v>117306000</v>
      </c>
    </row>
    <row r="97" spans="2:13" ht="15" customHeight="1" x14ac:dyDescent="0.2">
      <c r="B97" s="16" t="s">
        <v>1002</v>
      </c>
      <c r="C97" s="16" t="s">
        <v>1004</v>
      </c>
      <c r="D97" s="46" t="s">
        <v>1051</v>
      </c>
      <c r="E97" s="16" t="s">
        <v>1015</v>
      </c>
      <c r="F97" s="16" t="s">
        <v>1022</v>
      </c>
      <c r="G97" s="16" t="s">
        <v>1025</v>
      </c>
      <c r="H97" s="21" t="s">
        <v>159</v>
      </c>
      <c r="I97" s="18" t="str">
        <f>RIGHT(H97,4)</f>
        <v>- 13</v>
      </c>
      <c r="J97" s="22" t="s">
        <v>160</v>
      </c>
      <c r="K97" s="126">
        <f>+Tabla13[[#This Row],[PF TOTAL]]</f>
        <v>115416000</v>
      </c>
      <c r="L97" s="126"/>
      <c r="M97" s="126">
        <f>+Tabla134[[#This Row],[PF AJUSTE 1]]+Tabla134[[#This Row],[AJUSTE 2]]</f>
        <v>115416000</v>
      </c>
    </row>
    <row r="98" spans="2:13" ht="30" customHeight="1" x14ac:dyDescent="0.2">
      <c r="B98" s="16" t="s">
        <v>1002</v>
      </c>
      <c r="C98" s="16" t="s">
        <v>1004</v>
      </c>
      <c r="D98" s="46" t="s">
        <v>1051</v>
      </c>
      <c r="E98" s="16" t="s">
        <v>1015</v>
      </c>
      <c r="F98" s="16" t="s">
        <v>1022</v>
      </c>
      <c r="G98" s="16" t="s">
        <v>1025</v>
      </c>
      <c r="H98" s="21" t="s">
        <v>161</v>
      </c>
      <c r="I98" s="18" t="str">
        <f>RIGHT(H98,4)</f>
        <v>- 13</v>
      </c>
      <c r="J98" s="22" t="s">
        <v>162</v>
      </c>
      <c r="K98" s="126">
        <f>+Tabla13[[#This Row],[PF TOTAL]]</f>
        <v>1890000</v>
      </c>
      <c r="L98" s="126"/>
      <c r="M98" s="126">
        <f>+Tabla134[[#This Row],[PF AJUSTE 1]]+Tabla134[[#This Row],[AJUSTE 2]]</f>
        <v>1890000</v>
      </c>
    </row>
    <row r="99" spans="2:13" s="13" customFormat="1" ht="15.75" customHeight="1" x14ac:dyDescent="0.25">
      <c r="B99" s="24"/>
      <c r="C99" s="24"/>
      <c r="D99" s="24"/>
      <c r="E99" s="24"/>
      <c r="F99" s="24"/>
      <c r="G99" s="24"/>
      <c r="H99" s="17" t="s">
        <v>163</v>
      </c>
      <c r="I99" s="18"/>
      <c r="J99" s="19" t="s">
        <v>164</v>
      </c>
      <c r="K99" s="152">
        <f>+K100+K103+K109</f>
        <v>34158059396</v>
      </c>
      <c r="L99" s="152">
        <f>+L100+L103+L109</f>
        <v>0</v>
      </c>
      <c r="M99" s="152">
        <f t="shared" ref="M99" si="40">+M100+M103+M109</f>
        <v>34158059396</v>
      </c>
    </row>
    <row r="100" spans="2:13" ht="15" customHeight="1" x14ac:dyDescent="0.2">
      <c r="B100" s="16"/>
      <c r="C100" s="16"/>
      <c r="D100" s="16"/>
      <c r="E100" s="16"/>
      <c r="F100" s="16"/>
      <c r="G100" s="16"/>
      <c r="H100" s="21" t="s">
        <v>165</v>
      </c>
      <c r="I100" s="18"/>
      <c r="J100" s="22" t="s">
        <v>166</v>
      </c>
      <c r="K100" s="150">
        <f>+K101</f>
        <v>16044640917</v>
      </c>
      <c r="L100" s="150">
        <f t="shared" ref="L100:M101" si="41">+L101</f>
        <v>0</v>
      </c>
      <c r="M100" s="150">
        <f t="shared" si="41"/>
        <v>16044640917</v>
      </c>
    </row>
    <row r="101" spans="2:13" ht="15" customHeight="1" x14ac:dyDescent="0.2">
      <c r="B101" s="16"/>
      <c r="C101" s="16"/>
      <c r="D101" s="16"/>
      <c r="E101" s="16"/>
      <c r="F101" s="16"/>
      <c r="G101" s="16"/>
      <c r="H101" s="21" t="s">
        <v>167</v>
      </c>
      <c r="I101" s="18"/>
      <c r="J101" s="22" t="s">
        <v>168</v>
      </c>
      <c r="K101" s="150">
        <f>+K102</f>
        <v>16044640917</v>
      </c>
      <c r="L101" s="150">
        <f t="shared" si="41"/>
        <v>0</v>
      </c>
      <c r="M101" s="150">
        <f t="shared" si="41"/>
        <v>16044640917</v>
      </c>
    </row>
    <row r="102" spans="2:13" ht="15" customHeight="1" x14ac:dyDescent="0.2">
      <c r="B102" s="16" t="s">
        <v>1002</v>
      </c>
      <c r="C102" s="16" t="s">
        <v>1004</v>
      </c>
      <c r="D102" s="46" t="s">
        <v>1051</v>
      </c>
      <c r="E102" s="16" t="s">
        <v>1017</v>
      </c>
      <c r="F102" s="16" t="s">
        <v>1022</v>
      </c>
      <c r="G102" s="16" t="s">
        <v>1025</v>
      </c>
      <c r="H102" s="21" t="s">
        <v>169</v>
      </c>
      <c r="I102" s="18" t="str">
        <f>RIGHT(H102,4)</f>
        <v xml:space="preserve"> 99A</v>
      </c>
      <c r="J102" s="22" t="s">
        <v>168</v>
      </c>
      <c r="K102" s="126">
        <f>+Tabla13[[#This Row],[PF TOTAL]]</f>
        <v>16044640917</v>
      </c>
      <c r="L102" s="126">
        <v>0</v>
      </c>
      <c r="M102" s="126">
        <f>+Tabla134[[#This Row],[PF AJUSTE 1]]+Tabla134[[#This Row],[AJUSTE 2]]</f>
        <v>16044640917</v>
      </c>
    </row>
    <row r="103" spans="2:13" ht="15" customHeight="1" x14ac:dyDescent="0.2">
      <c r="B103" s="16"/>
      <c r="C103" s="16"/>
      <c r="D103" s="16"/>
      <c r="E103" s="16"/>
      <c r="F103" s="16"/>
      <c r="G103" s="16"/>
      <c r="H103" s="21" t="s">
        <v>170</v>
      </c>
      <c r="I103" s="18"/>
      <c r="J103" s="22" t="s">
        <v>171</v>
      </c>
      <c r="K103" s="150">
        <f t="shared" ref="K103:M103" si="42">+K104</f>
        <v>17413418479</v>
      </c>
      <c r="L103" s="150">
        <f t="shared" si="42"/>
        <v>0</v>
      </c>
      <c r="M103" s="150">
        <f t="shared" si="42"/>
        <v>17413418479</v>
      </c>
    </row>
    <row r="104" spans="2:13" ht="15" customHeight="1" x14ac:dyDescent="0.2">
      <c r="B104" s="16"/>
      <c r="C104" s="16"/>
      <c r="D104" s="16"/>
      <c r="E104" s="16"/>
      <c r="F104" s="16"/>
      <c r="G104" s="16"/>
      <c r="H104" s="21" t="s">
        <v>172</v>
      </c>
      <c r="I104" s="18"/>
      <c r="J104" s="22" t="s">
        <v>173</v>
      </c>
      <c r="K104" s="150">
        <f>+K105+K107</f>
        <v>17413418479</v>
      </c>
      <c r="L104" s="150">
        <f t="shared" ref="L104:M104" si="43">+L105+L107</f>
        <v>0</v>
      </c>
      <c r="M104" s="150">
        <f t="shared" si="43"/>
        <v>17413418479</v>
      </c>
    </row>
    <row r="105" spans="2:13" ht="15" customHeight="1" x14ac:dyDescent="0.2">
      <c r="B105" s="16"/>
      <c r="C105" s="16"/>
      <c r="D105" s="16"/>
      <c r="E105" s="16"/>
      <c r="F105" s="16"/>
      <c r="G105" s="16"/>
      <c r="H105" s="21" t="s">
        <v>174</v>
      </c>
      <c r="I105" s="18"/>
      <c r="J105" s="22" t="s">
        <v>175</v>
      </c>
      <c r="K105" s="150">
        <f>+K106</f>
        <v>17183962426</v>
      </c>
      <c r="L105" s="150">
        <f t="shared" ref="L105:M105" si="44">+L106</f>
        <v>0</v>
      </c>
      <c r="M105" s="150">
        <f t="shared" si="44"/>
        <v>17183962426</v>
      </c>
    </row>
    <row r="106" spans="2:13" ht="15" customHeight="1" x14ac:dyDescent="0.2">
      <c r="B106" s="16" t="s">
        <v>1002</v>
      </c>
      <c r="C106" s="16" t="s">
        <v>1004</v>
      </c>
      <c r="D106" s="46" t="s">
        <v>1051</v>
      </c>
      <c r="E106" s="16" t="s">
        <v>1015</v>
      </c>
      <c r="F106" s="16" t="s">
        <v>1022</v>
      </c>
      <c r="G106" s="16" t="s">
        <v>1025</v>
      </c>
      <c r="H106" s="21" t="s">
        <v>176</v>
      </c>
      <c r="I106" s="18" t="str">
        <f>RIGHT(H106,4)</f>
        <v>- 23</v>
      </c>
      <c r="J106" s="22" t="s">
        <v>175</v>
      </c>
      <c r="K106" s="126">
        <f>+Tabla13[[#This Row],[PF TOTAL]]</f>
        <v>17183962426</v>
      </c>
      <c r="L106" s="126">
        <v>0</v>
      </c>
      <c r="M106" s="126">
        <f>+Tabla134[[#This Row],[PF AJUSTE 1]]+Tabla134[[#This Row],[AJUSTE 2]]</f>
        <v>17183962426</v>
      </c>
    </row>
    <row r="107" spans="2:13" ht="30" customHeight="1" x14ac:dyDescent="0.2">
      <c r="B107" s="16"/>
      <c r="C107" s="16"/>
      <c r="D107" s="16"/>
      <c r="E107" s="16"/>
      <c r="F107" s="16"/>
      <c r="G107" s="16"/>
      <c r="H107" s="21" t="s">
        <v>177</v>
      </c>
      <c r="I107" s="18"/>
      <c r="J107" s="22" t="s">
        <v>178</v>
      </c>
      <c r="K107" s="150">
        <f>+K108</f>
        <v>229456053</v>
      </c>
      <c r="L107" s="150">
        <f t="shared" ref="L107:M107" si="45">+L108</f>
        <v>0</v>
      </c>
      <c r="M107" s="150">
        <f t="shared" si="45"/>
        <v>229456053</v>
      </c>
    </row>
    <row r="108" spans="2:13" ht="30" customHeight="1" x14ac:dyDescent="0.2">
      <c r="B108" s="16" t="s">
        <v>1002</v>
      </c>
      <c r="C108" s="16" t="s">
        <v>1004</v>
      </c>
      <c r="D108" s="46" t="s">
        <v>1051</v>
      </c>
      <c r="E108" s="16" t="s">
        <v>1015</v>
      </c>
      <c r="F108" s="16" t="s">
        <v>1022</v>
      </c>
      <c r="G108" s="16" t="s">
        <v>1025</v>
      </c>
      <c r="H108" s="21" t="s">
        <v>179</v>
      </c>
      <c r="I108" s="18" t="str">
        <f>RIGHT(H108,4)</f>
        <v>- 24</v>
      </c>
      <c r="J108" s="22" t="s">
        <v>178</v>
      </c>
      <c r="K108" s="126">
        <f>+Tabla13[[#This Row],[PF TOTAL]]</f>
        <v>229456053</v>
      </c>
      <c r="L108" s="126">
        <v>0</v>
      </c>
      <c r="M108" s="126">
        <f>+Tabla134[[#This Row],[PF AJUSTE 1]]+Tabla134[[#This Row],[AJUSTE 2]]</f>
        <v>229456053</v>
      </c>
    </row>
    <row r="109" spans="2:13" ht="15" customHeight="1" x14ac:dyDescent="0.2">
      <c r="B109" s="16"/>
      <c r="C109" s="16"/>
      <c r="D109" s="16"/>
      <c r="E109" s="16"/>
      <c r="F109" s="16"/>
      <c r="G109" s="16"/>
      <c r="H109" s="21" t="s">
        <v>180</v>
      </c>
      <c r="I109" s="18"/>
      <c r="J109" s="22" t="s">
        <v>181</v>
      </c>
      <c r="K109" s="150">
        <f>+K110</f>
        <v>700000000</v>
      </c>
      <c r="L109" s="150">
        <f t="shared" ref="L109:M109" si="46">+L110</f>
        <v>0</v>
      </c>
      <c r="M109" s="150">
        <f t="shared" si="46"/>
        <v>700000000</v>
      </c>
    </row>
    <row r="110" spans="2:13" ht="15" customHeight="1" x14ac:dyDescent="0.2">
      <c r="B110" s="16"/>
      <c r="C110" s="16"/>
      <c r="D110" s="16"/>
      <c r="E110" s="16"/>
      <c r="F110" s="16"/>
      <c r="G110" s="16"/>
      <c r="H110" s="21" t="s">
        <v>182</v>
      </c>
      <c r="I110" s="18"/>
      <c r="J110" s="22" t="s">
        <v>183</v>
      </c>
      <c r="K110" s="150">
        <f>SUM(K111:K115)</f>
        <v>700000000</v>
      </c>
      <c r="L110" s="150">
        <f t="shared" ref="L110:M110" si="47">SUM(L111:L115)</f>
        <v>0</v>
      </c>
      <c r="M110" s="150">
        <f t="shared" si="47"/>
        <v>700000000</v>
      </c>
    </row>
    <row r="111" spans="2:13" ht="15" customHeight="1" x14ac:dyDescent="0.2">
      <c r="B111" s="16" t="s">
        <v>1002</v>
      </c>
      <c r="C111" s="16" t="s">
        <v>1004</v>
      </c>
      <c r="D111" s="46" t="s">
        <v>1051</v>
      </c>
      <c r="E111" s="16" t="s">
        <v>1018</v>
      </c>
      <c r="F111" s="16" t="s">
        <v>1022</v>
      </c>
      <c r="G111" s="16" t="s">
        <v>1025</v>
      </c>
      <c r="H111" s="21" t="s">
        <v>184</v>
      </c>
      <c r="I111" s="18" t="str">
        <f>RIGHT(H111,4)</f>
        <v xml:space="preserve"> - 0</v>
      </c>
      <c r="J111" s="22" t="s">
        <v>185</v>
      </c>
      <c r="K111" s="126">
        <f>+Tabla13[[#This Row],[PF TOTAL]]</f>
        <v>700000000</v>
      </c>
      <c r="L111" s="126">
        <v>0</v>
      </c>
      <c r="M111" s="126">
        <f>+Tabla134[[#This Row],[PF AJUSTE 1]]+Tabla134[[#This Row],[AJUSTE 2]]</f>
        <v>700000000</v>
      </c>
    </row>
    <row r="112" spans="2:13" ht="15" customHeight="1" x14ac:dyDescent="0.2">
      <c r="B112" s="16" t="s">
        <v>1002</v>
      </c>
      <c r="C112" s="16" t="s">
        <v>1004</v>
      </c>
      <c r="D112" s="46" t="s">
        <v>1051</v>
      </c>
      <c r="E112" s="16" t="s">
        <v>1018</v>
      </c>
      <c r="F112" s="16" t="s">
        <v>1022</v>
      </c>
      <c r="G112" s="16" t="s">
        <v>1025</v>
      </c>
      <c r="H112" s="21" t="s">
        <v>186</v>
      </c>
      <c r="I112" s="18" t="str">
        <f>RIGHT(H112,4)</f>
        <v>- 0P</v>
      </c>
      <c r="J112" s="22" t="s">
        <v>187</v>
      </c>
      <c r="K112" s="126">
        <f>+Tabla13[[#This Row],[PF TOTAL]]</f>
        <v>0</v>
      </c>
      <c r="L112" s="126">
        <v>0</v>
      </c>
      <c r="M112" s="126">
        <f>+Tabla134[[#This Row],[PF AJUSTE 1]]+Tabla134[[#This Row],[AJUSTE 2]]</f>
        <v>0</v>
      </c>
    </row>
    <row r="113" spans="2:13" ht="15" customHeight="1" x14ac:dyDescent="0.2">
      <c r="B113" s="16" t="s">
        <v>1002</v>
      </c>
      <c r="C113" s="16" t="s">
        <v>1004</v>
      </c>
      <c r="D113" s="46" t="s">
        <v>1051</v>
      </c>
      <c r="E113" s="16" t="s">
        <v>1018</v>
      </c>
      <c r="F113" s="16" t="s">
        <v>1022</v>
      </c>
      <c r="G113" s="16" t="s">
        <v>1025</v>
      </c>
      <c r="H113" s="21" t="s">
        <v>188</v>
      </c>
      <c r="I113" s="18" t="str">
        <f>RIGHT(H113,4)</f>
        <v>- 0C</v>
      </c>
      <c r="J113" s="22" t="s">
        <v>189</v>
      </c>
      <c r="K113" s="126">
        <f>+Tabla13[[#This Row],[PF TOTAL]]</f>
        <v>0</v>
      </c>
      <c r="L113" s="126">
        <v>0</v>
      </c>
      <c r="M113" s="126">
        <f>+Tabla134[[#This Row],[PF AJUSTE 1]]+Tabla134[[#This Row],[AJUSTE 2]]</f>
        <v>0</v>
      </c>
    </row>
    <row r="114" spans="2:13" ht="15" customHeight="1" x14ac:dyDescent="0.2">
      <c r="B114" s="16" t="s">
        <v>1002</v>
      </c>
      <c r="C114" s="16" t="s">
        <v>1004</v>
      </c>
      <c r="D114" s="46" t="s">
        <v>1051</v>
      </c>
      <c r="E114" s="16" t="s">
        <v>1018</v>
      </c>
      <c r="F114" s="16" t="s">
        <v>1022</v>
      </c>
      <c r="G114" s="16" t="s">
        <v>1025</v>
      </c>
      <c r="H114" s="21" t="s">
        <v>190</v>
      </c>
      <c r="I114" s="18" t="str">
        <f>RIGHT(H114,4)</f>
        <v>- 0V</v>
      </c>
      <c r="J114" s="22" t="s">
        <v>191</v>
      </c>
      <c r="K114" s="126">
        <f>+Tabla13[[#This Row],[PF TOTAL]]</f>
        <v>0</v>
      </c>
      <c r="L114" s="126">
        <v>0</v>
      </c>
      <c r="M114" s="126">
        <f>+Tabla134[[#This Row],[PF AJUSTE 1]]+Tabla134[[#This Row],[AJUSTE 2]]</f>
        <v>0</v>
      </c>
    </row>
    <row r="115" spans="2:13" ht="15" customHeight="1" x14ac:dyDescent="0.2">
      <c r="B115" s="16" t="s">
        <v>1002</v>
      </c>
      <c r="C115" s="16" t="s">
        <v>1004</v>
      </c>
      <c r="D115" s="46" t="s">
        <v>1051</v>
      </c>
      <c r="E115" s="16" t="s">
        <v>1018</v>
      </c>
      <c r="F115" s="16" t="s">
        <v>1022</v>
      </c>
      <c r="G115" s="16" t="s">
        <v>1025</v>
      </c>
      <c r="H115" s="21" t="s">
        <v>192</v>
      </c>
      <c r="I115" s="18" t="str">
        <f>RIGHT(H115,4)</f>
        <v>- 0A</v>
      </c>
      <c r="J115" s="22" t="s">
        <v>193</v>
      </c>
      <c r="K115" s="126">
        <f>+Tabla13[[#This Row],[PF TOTAL]]</f>
        <v>0</v>
      </c>
      <c r="L115" s="126">
        <v>0</v>
      </c>
      <c r="M115" s="126">
        <f>+Tabla134[[#This Row],[PF AJUSTE 1]]+Tabla134[[#This Row],[AJUSTE 2]]</f>
        <v>0</v>
      </c>
    </row>
    <row r="116" spans="2:13" s="13" customFormat="1" ht="15.75" customHeight="1" x14ac:dyDescent="0.25">
      <c r="B116" s="24"/>
      <c r="C116" s="24"/>
      <c r="D116" s="24"/>
      <c r="E116" s="24"/>
      <c r="F116" s="24"/>
      <c r="G116" s="24"/>
      <c r="H116" s="17" t="s">
        <v>194</v>
      </c>
      <c r="I116" s="18"/>
      <c r="J116" s="19" t="s">
        <v>195</v>
      </c>
      <c r="K116" s="152">
        <f t="shared" ref="K116:M117" si="48">+K117</f>
        <v>22746116429</v>
      </c>
      <c r="L116" s="152">
        <f t="shared" si="48"/>
        <v>0</v>
      </c>
      <c r="M116" s="152">
        <f t="shared" si="48"/>
        <v>22746116429</v>
      </c>
    </row>
    <row r="117" spans="2:13" ht="30" customHeight="1" x14ac:dyDescent="0.2">
      <c r="B117" s="16"/>
      <c r="C117" s="16"/>
      <c r="D117" s="16"/>
      <c r="E117" s="16"/>
      <c r="F117" s="16"/>
      <c r="G117" s="16"/>
      <c r="H117" s="21" t="s">
        <v>196</v>
      </c>
      <c r="I117" s="18"/>
      <c r="J117" s="22" t="s">
        <v>197</v>
      </c>
      <c r="K117" s="150">
        <f t="shared" si="48"/>
        <v>22746116429</v>
      </c>
      <c r="L117" s="150">
        <f t="shared" si="48"/>
        <v>0</v>
      </c>
      <c r="M117" s="150">
        <f t="shared" si="48"/>
        <v>22746116429</v>
      </c>
    </row>
    <row r="118" spans="2:13" ht="30" customHeight="1" x14ac:dyDescent="0.2">
      <c r="B118" s="16"/>
      <c r="C118" s="16"/>
      <c r="D118" s="16"/>
      <c r="E118" s="16"/>
      <c r="F118" s="16"/>
      <c r="G118" s="16"/>
      <c r="H118" s="21" t="s">
        <v>198</v>
      </c>
      <c r="I118" s="18"/>
      <c r="J118" s="22" t="s">
        <v>199</v>
      </c>
      <c r="K118" s="150">
        <f>+K119+K126</f>
        <v>22746116429</v>
      </c>
      <c r="L118" s="150">
        <f>+L119+L126</f>
        <v>0</v>
      </c>
      <c r="M118" s="150">
        <f>+M119+M126</f>
        <v>22746116429</v>
      </c>
    </row>
    <row r="119" spans="2:13" ht="15" customHeight="1" x14ac:dyDescent="0.2">
      <c r="B119" s="16"/>
      <c r="C119" s="16"/>
      <c r="D119" s="16"/>
      <c r="E119" s="16"/>
      <c r="F119" s="16"/>
      <c r="G119" s="16"/>
      <c r="H119" s="21" t="s">
        <v>200</v>
      </c>
      <c r="I119" s="18"/>
      <c r="J119" s="22" t="s">
        <v>201</v>
      </c>
      <c r="K119" s="150">
        <f>+K120+K123</f>
        <v>254003983</v>
      </c>
      <c r="L119" s="150">
        <f>+L120+L123</f>
        <v>0</v>
      </c>
      <c r="M119" s="150">
        <f>+M120+M123</f>
        <v>254003983</v>
      </c>
    </row>
    <row r="120" spans="2:13" ht="30" customHeight="1" x14ac:dyDescent="0.2">
      <c r="B120" s="16"/>
      <c r="C120" s="16"/>
      <c r="D120" s="16"/>
      <c r="E120" s="16"/>
      <c r="F120" s="16"/>
      <c r="G120" s="16"/>
      <c r="H120" s="21" t="s">
        <v>202</v>
      </c>
      <c r="I120" s="18"/>
      <c r="J120" s="22" t="s">
        <v>203</v>
      </c>
      <c r="K120" s="150">
        <f>+K121+K122</f>
        <v>173923988</v>
      </c>
      <c r="L120" s="150">
        <f>+L121+L122</f>
        <v>0</v>
      </c>
      <c r="M120" s="150">
        <f>+M121+M122</f>
        <v>173923988</v>
      </c>
    </row>
    <row r="121" spans="2:13" ht="30" customHeight="1" x14ac:dyDescent="0.2">
      <c r="B121" s="16" t="s">
        <v>1002</v>
      </c>
      <c r="C121" s="16" t="s">
        <v>1004</v>
      </c>
      <c r="D121" s="46" t="s">
        <v>1051</v>
      </c>
      <c r="E121" s="16" t="s">
        <v>1013</v>
      </c>
      <c r="F121" s="16" t="s">
        <v>1022</v>
      </c>
      <c r="G121" s="16" t="s">
        <v>1025</v>
      </c>
      <c r="H121" s="21" t="s">
        <v>204</v>
      </c>
      <c r="I121" s="18" t="str">
        <f>RIGHT(H121,4)</f>
        <v>- 20</v>
      </c>
      <c r="J121" s="22" t="s">
        <v>203</v>
      </c>
      <c r="K121" s="126">
        <f>+Tabla13[[#This Row],[PF TOTAL]]</f>
        <v>165641894</v>
      </c>
      <c r="L121" s="126">
        <v>0</v>
      </c>
      <c r="M121" s="126">
        <f>+Tabla134[[#This Row],[PF AJUSTE 1]]+Tabla134[[#This Row],[AJUSTE 2]]</f>
        <v>165641894</v>
      </c>
    </row>
    <row r="122" spans="2:13" ht="30" customHeight="1" x14ac:dyDescent="0.2">
      <c r="B122" s="16" t="s">
        <v>1002</v>
      </c>
      <c r="C122" s="16" t="s">
        <v>1004</v>
      </c>
      <c r="D122" s="46" t="s">
        <v>1051</v>
      </c>
      <c r="E122" s="16" t="s">
        <v>1015</v>
      </c>
      <c r="F122" s="16" t="s">
        <v>1022</v>
      </c>
      <c r="G122" s="16" t="s">
        <v>1025</v>
      </c>
      <c r="H122" s="21" t="s">
        <v>205</v>
      </c>
      <c r="I122" s="18" t="str">
        <f>RIGHT(H122,4)</f>
        <v>- 60</v>
      </c>
      <c r="J122" s="22" t="s">
        <v>203</v>
      </c>
      <c r="K122" s="126">
        <f>+Tabla13[[#This Row],[PF TOTAL]]</f>
        <v>8282094</v>
      </c>
      <c r="L122" s="126">
        <v>0</v>
      </c>
      <c r="M122" s="126">
        <f>+Tabla134[[#This Row],[PF AJUSTE 1]]+Tabla134[[#This Row],[AJUSTE 2]]</f>
        <v>8282094</v>
      </c>
    </row>
    <row r="123" spans="2:13" ht="30" customHeight="1" x14ac:dyDescent="0.2">
      <c r="B123" s="16"/>
      <c r="C123" s="16"/>
      <c r="D123" s="16"/>
      <c r="E123" s="16"/>
      <c r="F123" s="16"/>
      <c r="G123" s="16"/>
      <c r="H123" s="21" t="s">
        <v>206</v>
      </c>
      <c r="I123" s="18"/>
      <c r="J123" s="22" t="s">
        <v>207</v>
      </c>
      <c r="K123" s="150">
        <f>+K124+K125</f>
        <v>80079995</v>
      </c>
      <c r="L123" s="150">
        <f>+L124+L125</f>
        <v>0</v>
      </c>
      <c r="M123" s="150">
        <f>+M124+M125</f>
        <v>80079995</v>
      </c>
    </row>
    <row r="124" spans="2:13" ht="30" customHeight="1" x14ac:dyDescent="0.2">
      <c r="B124" s="16" t="s">
        <v>1002</v>
      </c>
      <c r="C124" s="16" t="s">
        <v>1004</v>
      </c>
      <c r="D124" s="46" t="s">
        <v>1051</v>
      </c>
      <c r="E124" s="16" t="s">
        <v>1013</v>
      </c>
      <c r="F124" s="16" t="s">
        <v>1022</v>
      </c>
      <c r="G124" s="16" t="s">
        <v>1025</v>
      </c>
      <c r="H124" s="21" t="s">
        <v>208</v>
      </c>
      <c r="I124" s="18" t="str">
        <f>RIGHT(H124,4)</f>
        <v>- 20</v>
      </c>
      <c r="J124" s="22" t="s">
        <v>207</v>
      </c>
      <c r="K124" s="126">
        <f>+Tabla13[[#This Row],[PF TOTAL]]</f>
        <v>76266662</v>
      </c>
      <c r="L124" s="126">
        <v>0</v>
      </c>
      <c r="M124" s="126">
        <f>+Tabla134[[#This Row],[PF AJUSTE 1]]+Tabla134[[#This Row],[AJUSTE 2]]</f>
        <v>76266662</v>
      </c>
    </row>
    <row r="125" spans="2:13" ht="30" customHeight="1" x14ac:dyDescent="0.2">
      <c r="B125" s="16" t="s">
        <v>1002</v>
      </c>
      <c r="C125" s="16" t="s">
        <v>1004</v>
      </c>
      <c r="D125" s="46" t="s">
        <v>1051</v>
      </c>
      <c r="E125" s="16" t="s">
        <v>1015</v>
      </c>
      <c r="F125" s="16" t="s">
        <v>1022</v>
      </c>
      <c r="G125" s="16" t="s">
        <v>1025</v>
      </c>
      <c r="H125" s="21" t="s">
        <v>209</v>
      </c>
      <c r="I125" s="18" t="str">
        <f>RIGHT(H125,4)</f>
        <v>- 60</v>
      </c>
      <c r="J125" s="22" t="s">
        <v>207</v>
      </c>
      <c r="K125" s="126">
        <f>+Tabla13[[#This Row],[PF TOTAL]]</f>
        <v>3813333</v>
      </c>
      <c r="L125" s="126">
        <v>0</v>
      </c>
      <c r="M125" s="126">
        <f>+Tabla134[[#This Row],[PF AJUSTE 1]]+Tabla134[[#This Row],[AJUSTE 2]]</f>
        <v>3813333</v>
      </c>
    </row>
    <row r="126" spans="2:13" ht="15" customHeight="1" x14ac:dyDescent="0.2">
      <c r="B126" s="16"/>
      <c r="C126" s="16"/>
      <c r="D126" s="16"/>
      <c r="E126" s="16"/>
      <c r="F126" s="16"/>
      <c r="G126" s="16"/>
      <c r="H126" s="21" t="s">
        <v>210</v>
      </c>
      <c r="I126" s="18"/>
      <c r="J126" s="22" t="s">
        <v>211</v>
      </c>
      <c r="K126" s="150">
        <f>+K127</f>
        <v>22492112446</v>
      </c>
      <c r="L126" s="150">
        <f>+L127</f>
        <v>0</v>
      </c>
      <c r="M126" s="150">
        <f>+M127</f>
        <v>22492112446</v>
      </c>
    </row>
    <row r="127" spans="2:13" ht="15" customHeight="1" x14ac:dyDescent="0.2">
      <c r="B127" s="16"/>
      <c r="C127" s="16"/>
      <c r="D127" s="16"/>
      <c r="E127" s="16"/>
      <c r="F127" s="16"/>
      <c r="G127" s="16"/>
      <c r="H127" s="21" t="s">
        <v>212</v>
      </c>
      <c r="I127" s="18"/>
      <c r="J127" s="22" t="s">
        <v>213</v>
      </c>
      <c r="K127" s="150">
        <f>+K128+K131</f>
        <v>22492112446</v>
      </c>
      <c r="L127" s="150">
        <f>+L128+L131</f>
        <v>0</v>
      </c>
      <c r="M127" s="150">
        <f>+M128+M131</f>
        <v>22492112446</v>
      </c>
    </row>
    <row r="128" spans="2:13" ht="30" customHeight="1" x14ac:dyDescent="0.2">
      <c r="B128" s="16"/>
      <c r="C128" s="16"/>
      <c r="D128" s="16"/>
      <c r="E128" s="16"/>
      <c r="F128" s="16"/>
      <c r="G128" s="16"/>
      <c r="H128" s="21" t="s">
        <v>214</v>
      </c>
      <c r="I128" s="18"/>
      <c r="J128" s="22" t="s">
        <v>215</v>
      </c>
      <c r="K128" s="150">
        <f>+K129+K130</f>
        <v>15138474925</v>
      </c>
      <c r="L128" s="150">
        <f>+L129+L130</f>
        <v>0</v>
      </c>
      <c r="M128" s="150">
        <f>+M129+M130</f>
        <v>15138474925</v>
      </c>
    </row>
    <row r="129" spans="2:13" ht="30" customHeight="1" x14ac:dyDescent="0.2">
      <c r="B129" s="16" t="s">
        <v>1002</v>
      </c>
      <c r="C129" s="16" t="s">
        <v>1004</v>
      </c>
      <c r="D129" s="46" t="s">
        <v>1051</v>
      </c>
      <c r="E129" s="16" t="s">
        <v>1013</v>
      </c>
      <c r="F129" s="16" t="s">
        <v>1022</v>
      </c>
      <c r="G129" s="16" t="s">
        <v>1025</v>
      </c>
      <c r="H129" s="21" t="s">
        <v>216</v>
      </c>
      <c r="I129" s="18" t="str">
        <f>RIGHT(H129,4)</f>
        <v>- 20</v>
      </c>
      <c r="J129" s="22" t="s">
        <v>215</v>
      </c>
      <c r="K129" s="126">
        <f>+Tabla13[[#This Row],[PF TOTAL]]</f>
        <v>14417595167</v>
      </c>
      <c r="L129" s="126">
        <v>0</v>
      </c>
      <c r="M129" s="126">
        <f>+Tabla134[[#This Row],[PF AJUSTE 1]]+Tabla134[[#This Row],[AJUSTE 2]]</f>
        <v>14417595167</v>
      </c>
    </row>
    <row r="130" spans="2:13" ht="30" customHeight="1" x14ac:dyDescent="0.2">
      <c r="B130" s="16" t="s">
        <v>1002</v>
      </c>
      <c r="C130" s="16" t="s">
        <v>1004</v>
      </c>
      <c r="D130" s="46" t="s">
        <v>1051</v>
      </c>
      <c r="E130" s="16" t="s">
        <v>1015</v>
      </c>
      <c r="F130" s="16" t="s">
        <v>1022</v>
      </c>
      <c r="G130" s="16" t="s">
        <v>1025</v>
      </c>
      <c r="H130" s="21" t="s">
        <v>217</v>
      </c>
      <c r="I130" s="18" t="str">
        <f>RIGHT(H130,4)</f>
        <v>- 60</v>
      </c>
      <c r="J130" s="22" t="s">
        <v>215</v>
      </c>
      <c r="K130" s="126">
        <f>+Tabla13[[#This Row],[PF TOTAL]]</f>
        <v>720879758</v>
      </c>
      <c r="L130" s="126">
        <v>0</v>
      </c>
      <c r="M130" s="126">
        <f>+Tabla134[[#This Row],[PF AJUSTE 1]]+Tabla134[[#This Row],[AJUSTE 2]]</f>
        <v>720879758</v>
      </c>
    </row>
    <row r="131" spans="2:13" ht="30" customHeight="1" x14ac:dyDescent="0.2">
      <c r="B131" s="16"/>
      <c r="C131" s="16"/>
      <c r="D131" s="16"/>
      <c r="E131" s="16"/>
      <c r="F131" s="16"/>
      <c r="G131" s="16"/>
      <c r="H131" s="21" t="s">
        <v>218</v>
      </c>
      <c r="I131" s="18"/>
      <c r="J131" s="22" t="s">
        <v>219</v>
      </c>
      <c r="K131" s="150">
        <f>+K132</f>
        <v>7353637521</v>
      </c>
      <c r="L131" s="150">
        <f>+L132</f>
        <v>0</v>
      </c>
      <c r="M131" s="150">
        <f>+M132</f>
        <v>7353637521</v>
      </c>
    </row>
    <row r="132" spans="2:13" ht="30" customHeight="1" x14ac:dyDescent="0.2">
      <c r="B132" s="16"/>
      <c r="C132" s="16"/>
      <c r="D132" s="16"/>
      <c r="E132" s="16"/>
      <c r="F132" s="16"/>
      <c r="G132" s="16"/>
      <c r="H132" s="21" t="s">
        <v>220</v>
      </c>
      <c r="I132" s="18"/>
      <c r="J132" s="22" t="s">
        <v>221</v>
      </c>
      <c r="K132" s="150">
        <f>+K133+K134</f>
        <v>7353637521</v>
      </c>
      <c r="L132" s="150">
        <f>+L133+L134</f>
        <v>0</v>
      </c>
      <c r="M132" s="150">
        <f>+M133+M134</f>
        <v>7353637521</v>
      </c>
    </row>
    <row r="133" spans="2:13" ht="30" customHeight="1" x14ac:dyDescent="0.2">
      <c r="B133" s="16" t="s">
        <v>1002</v>
      </c>
      <c r="C133" s="16" t="s">
        <v>1004</v>
      </c>
      <c r="D133" s="46" t="s">
        <v>1051</v>
      </c>
      <c r="E133" s="16" t="s">
        <v>1013</v>
      </c>
      <c r="F133" s="16" t="s">
        <v>1022</v>
      </c>
      <c r="G133" s="16" t="s">
        <v>1025</v>
      </c>
      <c r="H133" s="21" t="s">
        <v>222</v>
      </c>
      <c r="I133" s="18" t="str">
        <f>RIGHT(H133,4)</f>
        <v>- 20</v>
      </c>
      <c r="J133" s="22" t="s">
        <v>221</v>
      </c>
      <c r="K133" s="126">
        <f>+Tabla13[[#This Row],[PF TOTAL]]</f>
        <v>7003464306</v>
      </c>
      <c r="L133" s="126">
        <v>0</v>
      </c>
      <c r="M133" s="126">
        <f>+Tabla134[[#This Row],[PF AJUSTE 1]]+Tabla134[[#This Row],[AJUSTE 2]]</f>
        <v>7003464306</v>
      </c>
    </row>
    <row r="134" spans="2:13" ht="30" customHeight="1" x14ac:dyDescent="0.2">
      <c r="B134" s="16" t="s">
        <v>1002</v>
      </c>
      <c r="C134" s="16" t="s">
        <v>1004</v>
      </c>
      <c r="D134" s="46" t="s">
        <v>1051</v>
      </c>
      <c r="E134" s="16" t="s">
        <v>1015</v>
      </c>
      <c r="F134" s="16" t="s">
        <v>1022</v>
      </c>
      <c r="G134" s="16" t="s">
        <v>1025</v>
      </c>
      <c r="H134" s="21" t="s">
        <v>223</v>
      </c>
      <c r="I134" s="18" t="str">
        <f>RIGHT(H134,4)</f>
        <v>- 60</v>
      </c>
      <c r="J134" s="22" t="s">
        <v>221</v>
      </c>
      <c r="K134" s="126">
        <f>+Tabla13[[#This Row],[PF TOTAL]]</f>
        <v>350173215</v>
      </c>
      <c r="L134" s="126">
        <v>0</v>
      </c>
      <c r="M134" s="126">
        <f>+Tabla134[[#This Row],[PF AJUSTE 1]]+Tabla134[[#This Row],[AJUSTE 2]]</f>
        <v>350173215</v>
      </c>
    </row>
    <row r="135" spans="2:13" s="13" customFormat="1" ht="15.75" customHeight="1" x14ac:dyDescent="0.25">
      <c r="B135" s="24"/>
      <c r="C135" s="24"/>
      <c r="D135" s="24"/>
      <c r="E135" s="24"/>
      <c r="F135" s="24"/>
      <c r="G135" s="24"/>
      <c r="H135" s="17" t="s">
        <v>224</v>
      </c>
      <c r="I135" s="18"/>
      <c r="J135" s="19" t="s">
        <v>225</v>
      </c>
      <c r="K135" s="152">
        <f>+K136+K139+K143+K162+K165+K189</f>
        <v>2450000000</v>
      </c>
      <c r="L135" s="152">
        <f t="shared" ref="L135:M135" si="49">+L136+L139+L143+L162+L165+L189</f>
        <v>0</v>
      </c>
      <c r="M135" s="152">
        <f t="shared" si="49"/>
        <v>2450000000</v>
      </c>
    </row>
    <row r="136" spans="2:13" s="13" customFormat="1" ht="15.75" customHeight="1" x14ac:dyDescent="0.25">
      <c r="B136" s="24"/>
      <c r="C136" s="24"/>
      <c r="D136" s="24"/>
      <c r="E136" s="24"/>
      <c r="F136" s="24"/>
      <c r="G136" s="24"/>
      <c r="H136" s="17" t="s">
        <v>226</v>
      </c>
      <c r="I136" s="18"/>
      <c r="J136" s="19" t="s">
        <v>227</v>
      </c>
      <c r="K136" s="152">
        <f>+K137</f>
        <v>0</v>
      </c>
      <c r="L136" s="152">
        <f t="shared" ref="L136:M137" si="50">+L137</f>
        <v>0</v>
      </c>
      <c r="M136" s="152">
        <f t="shared" si="50"/>
        <v>0</v>
      </c>
    </row>
    <row r="137" spans="2:13" s="13" customFormat="1" ht="15.75" customHeight="1" x14ac:dyDescent="0.25">
      <c r="B137" s="24"/>
      <c r="C137" s="24"/>
      <c r="D137" s="24"/>
      <c r="E137" s="24"/>
      <c r="F137" s="24"/>
      <c r="G137" s="24"/>
      <c r="H137" s="17" t="s">
        <v>775</v>
      </c>
      <c r="I137" s="18"/>
      <c r="J137" s="19" t="s">
        <v>229</v>
      </c>
      <c r="K137" s="150">
        <f>+K138</f>
        <v>0</v>
      </c>
      <c r="L137" s="150">
        <f t="shared" si="50"/>
        <v>0</v>
      </c>
      <c r="M137" s="150">
        <f t="shared" si="50"/>
        <v>0</v>
      </c>
    </row>
    <row r="138" spans="2:13" ht="15" customHeight="1" x14ac:dyDescent="0.2">
      <c r="B138" s="16" t="s">
        <v>1002</v>
      </c>
      <c r="C138" s="16" t="s">
        <v>1004</v>
      </c>
      <c r="D138" s="46" t="s">
        <v>1051</v>
      </c>
      <c r="E138" s="16" t="s">
        <v>1014</v>
      </c>
      <c r="F138" s="16" t="s">
        <v>1023</v>
      </c>
      <c r="G138" s="16" t="s">
        <v>1026</v>
      </c>
      <c r="H138" s="21" t="s">
        <v>228</v>
      </c>
      <c r="I138" s="18" t="str">
        <f>RIGHT(H138,4)</f>
        <v>- 20</v>
      </c>
      <c r="J138" s="22" t="s">
        <v>229</v>
      </c>
      <c r="K138" s="126">
        <f>+Tabla13[[#This Row],[PF TOTAL]]</f>
        <v>0</v>
      </c>
      <c r="L138" s="126"/>
      <c r="M138" s="126">
        <f>+Tabla134[[#This Row],[PF AJUSTE 1]]+Tabla134[[#This Row],[AJUSTE 2]]</f>
        <v>0</v>
      </c>
    </row>
    <row r="139" spans="2:13" s="13" customFormat="1" ht="15.75" customHeight="1" x14ac:dyDescent="0.25">
      <c r="B139" s="24"/>
      <c r="C139" s="24"/>
      <c r="D139" s="24"/>
      <c r="E139" s="24"/>
      <c r="F139" s="24"/>
      <c r="G139" s="24"/>
      <c r="H139" s="17" t="s">
        <v>230</v>
      </c>
      <c r="I139" s="18"/>
      <c r="J139" s="19" t="s">
        <v>231</v>
      </c>
      <c r="K139" s="152">
        <f>+K140</f>
        <v>250000000</v>
      </c>
      <c r="L139" s="152">
        <f t="shared" ref="L139:M139" si="51">+L140</f>
        <v>0</v>
      </c>
      <c r="M139" s="152">
        <f t="shared" si="51"/>
        <v>250000000</v>
      </c>
    </row>
    <row r="140" spans="2:13" ht="15" customHeight="1" x14ac:dyDescent="0.2">
      <c r="B140" s="16"/>
      <c r="C140" s="16"/>
      <c r="D140" s="16"/>
      <c r="E140" s="16"/>
      <c r="F140" s="16"/>
      <c r="G140" s="16"/>
      <c r="H140" s="21" t="s">
        <v>232</v>
      </c>
      <c r="I140" s="18"/>
      <c r="J140" s="22" t="s">
        <v>233</v>
      </c>
      <c r="K140" s="150">
        <f>+K141+K142</f>
        <v>250000000</v>
      </c>
      <c r="L140" s="150">
        <f t="shared" ref="L140:M140" si="52">+L141+L142</f>
        <v>0</v>
      </c>
      <c r="M140" s="150">
        <f t="shared" si="52"/>
        <v>250000000</v>
      </c>
    </row>
    <row r="141" spans="2:13" ht="15" customHeight="1" x14ac:dyDescent="0.2">
      <c r="B141" s="16" t="s">
        <v>1002</v>
      </c>
      <c r="C141" s="16" t="s">
        <v>1004</v>
      </c>
      <c r="D141" s="46" t="s">
        <v>1051</v>
      </c>
      <c r="E141" s="16" t="s">
        <v>1014</v>
      </c>
      <c r="F141" s="16" t="s">
        <v>1023</v>
      </c>
      <c r="G141" s="16" t="s">
        <v>1027</v>
      </c>
      <c r="H141" s="21" t="s">
        <v>234</v>
      </c>
      <c r="I141" s="18" t="str">
        <f>RIGHT(H141,4)</f>
        <v>- 20</v>
      </c>
      <c r="J141" s="22" t="s">
        <v>235</v>
      </c>
      <c r="K141" s="126">
        <f>+Tabla13[[#This Row],[PF TOTAL]]</f>
        <v>0</v>
      </c>
      <c r="L141" s="126"/>
      <c r="M141" s="126">
        <f>+Tabla134[[#This Row],[PF AJUSTE 1]]+Tabla134[[#This Row],[AJUSTE 2]]</f>
        <v>0</v>
      </c>
    </row>
    <row r="142" spans="2:13" ht="15" customHeight="1" x14ac:dyDescent="0.2">
      <c r="B142" s="16" t="s">
        <v>1002</v>
      </c>
      <c r="C142" s="16" t="s">
        <v>1004</v>
      </c>
      <c r="D142" s="46" t="s">
        <v>1051</v>
      </c>
      <c r="E142" s="16" t="s">
        <v>1014</v>
      </c>
      <c r="F142" s="16" t="s">
        <v>1023</v>
      </c>
      <c r="G142" s="16" t="s">
        <v>1027</v>
      </c>
      <c r="H142" s="21" t="s">
        <v>236</v>
      </c>
      <c r="I142" s="18" t="str">
        <f>RIGHT(H142,4)</f>
        <v>- 20</v>
      </c>
      <c r="J142" s="22" t="s">
        <v>237</v>
      </c>
      <c r="K142" s="126">
        <f>+Tabla13[[#This Row],[PF TOTAL]]</f>
        <v>250000000</v>
      </c>
      <c r="L142" s="126"/>
      <c r="M142" s="126">
        <f>+Tabla134[[#This Row],[PF AJUSTE 1]]+Tabla134[[#This Row],[AJUSTE 2]]</f>
        <v>250000000</v>
      </c>
    </row>
    <row r="143" spans="2:13" s="13" customFormat="1" ht="15.75" customHeight="1" x14ac:dyDescent="0.25">
      <c r="B143" s="24"/>
      <c r="C143" s="24"/>
      <c r="D143" s="24"/>
      <c r="E143" s="24"/>
      <c r="F143" s="24"/>
      <c r="G143" s="24"/>
      <c r="H143" s="17" t="s">
        <v>238</v>
      </c>
      <c r="I143" s="18"/>
      <c r="J143" s="19" t="s">
        <v>239</v>
      </c>
      <c r="K143" s="152">
        <f>+K144</f>
        <v>2200000000</v>
      </c>
      <c r="L143" s="152">
        <f t="shared" ref="L143:M143" si="53">+L144</f>
        <v>0</v>
      </c>
      <c r="M143" s="152">
        <f t="shared" si="53"/>
        <v>2200000000</v>
      </c>
    </row>
    <row r="144" spans="2:13" s="13" customFormat="1" ht="15.75" customHeight="1" x14ac:dyDescent="0.25">
      <c r="B144" s="24"/>
      <c r="C144" s="24"/>
      <c r="D144" s="24"/>
      <c r="E144" s="24"/>
      <c r="F144" s="24"/>
      <c r="G144" s="24"/>
      <c r="H144" s="17" t="s">
        <v>240</v>
      </c>
      <c r="I144" s="18"/>
      <c r="J144" s="19" t="s">
        <v>241</v>
      </c>
      <c r="K144" s="152">
        <f>SUM(K145:K161)</f>
        <v>2200000000</v>
      </c>
      <c r="L144" s="152">
        <f t="shared" ref="L144:M144" si="54">SUM(L145:L161)</f>
        <v>0</v>
      </c>
      <c r="M144" s="152">
        <f t="shared" si="54"/>
        <v>2200000000</v>
      </c>
    </row>
    <row r="145" spans="2:13" ht="15" customHeight="1" x14ac:dyDescent="0.2">
      <c r="B145" s="16" t="s">
        <v>1002</v>
      </c>
      <c r="C145" s="16" t="s">
        <v>1004</v>
      </c>
      <c r="D145" s="46" t="s">
        <v>1051</v>
      </c>
      <c r="E145" s="16" t="s">
        <v>1016</v>
      </c>
      <c r="F145" s="16" t="s">
        <v>1023</v>
      </c>
      <c r="G145" s="16" t="s">
        <v>1028</v>
      </c>
      <c r="H145" s="21" t="s">
        <v>243</v>
      </c>
      <c r="I145" s="18" t="str">
        <f t="shared" ref="I145:I161" si="55">RIGHT(H145,4)</f>
        <v xml:space="preserve"> 04F</v>
      </c>
      <c r="J145" s="22" t="s">
        <v>241</v>
      </c>
      <c r="K145" s="126">
        <f>+Tabla13[[#This Row],[PF TOTAL]]</f>
        <v>0</v>
      </c>
      <c r="L145" s="126"/>
      <c r="M145" s="126">
        <f>+Tabla134[[#This Row],[PF AJUSTE 1]]+Tabla134[[#This Row],[AJUSTE 2]]</f>
        <v>0</v>
      </c>
    </row>
    <row r="146" spans="2:13" ht="15" customHeight="1" x14ac:dyDescent="0.2">
      <c r="B146" s="16" t="s">
        <v>1002</v>
      </c>
      <c r="C146" s="16" t="s">
        <v>1004</v>
      </c>
      <c r="D146" s="46" t="s">
        <v>1051</v>
      </c>
      <c r="E146" s="16" t="s">
        <v>1016</v>
      </c>
      <c r="F146" s="16" t="s">
        <v>1023</v>
      </c>
      <c r="G146" s="16" t="s">
        <v>1028</v>
      </c>
      <c r="H146" s="21" t="s">
        <v>244</v>
      </c>
      <c r="I146" s="18" t="str">
        <f t="shared" si="55"/>
        <v xml:space="preserve"> 05F</v>
      </c>
      <c r="J146" s="22" t="s">
        <v>241</v>
      </c>
      <c r="K146" s="126">
        <f>+Tabla13[[#This Row],[PF TOTAL]]</f>
        <v>0</v>
      </c>
      <c r="L146" s="126"/>
      <c r="M146" s="126">
        <f>+Tabla134[[#This Row],[PF AJUSTE 1]]+Tabla134[[#This Row],[AJUSTE 2]]</f>
        <v>0</v>
      </c>
    </row>
    <row r="147" spans="2:13" ht="15" customHeight="1" x14ac:dyDescent="0.2">
      <c r="B147" s="16" t="s">
        <v>1002</v>
      </c>
      <c r="C147" s="16" t="s">
        <v>1004</v>
      </c>
      <c r="D147" s="46" t="s">
        <v>1051</v>
      </c>
      <c r="E147" s="16" t="s">
        <v>1016</v>
      </c>
      <c r="F147" s="16" t="s">
        <v>1023</v>
      </c>
      <c r="G147" s="16" t="s">
        <v>1028</v>
      </c>
      <c r="H147" s="21" t="s">
        <v>245</v>
      </c>
      <c r="I147" s="18" t="str">
        <f t="shared" si="55"/>
        <v xml:space="preserve"> 08F</v>
      </c>
      <c r="J147" s="22" t="s">
        <v>241</v>
      </c>
      <c r="K147" s="126">
        <f>+Tabla13[[#This Row],[PF TOTAL]]</f>
        <v>0</v>
      </c>
      <c r="L147" s="126"/>
      <c r="M147" s="126">
        <f>+Tabla134[[#This Row],[PF AJUSTE 1]]+Tabla134[[#This Row],[AJUSTE 2]]</f>
        <v>0</v>
      </c>
    </row>
    <row r="148" spans="2:13" ht="15" customHeight="1" x14ac:dyDescent="0.2">
      <c r="B148" s="16" t="s">
        <v>1002</v>
      </c>
      <c r="C148" s="16" t="s">
        <v>1004</v>
      </c>
      <c r="D148" s="46" t="s">
        <v>1051</v>
      </c>
      <c r="E148" s="16" t="s">
        <v>1015</v>
      </c>
      <c r="F148" s="16" t="s">
        <v>1023</v>
      </c>
      <c r="G148" s="16" t="s">
        <v>1028</v>
      </c>
      <c r="H148" s="21" t="s">
        <v>246</v>
      </c>
      <c r="I148" s="18" t="str">
        <f t="shared" si="55"/>
        <v>100I</v>
      </c>
      <c r="J148" s="22" t="s">
        <v>241</v>
      </c>
      <c r="K148" s="126">
        <f>+Tabla13[[#This Row],[PF TOTAL]]</f>
        <v>0</v>
      </c>
      <c r="L148" s="126"/>
      <c r="M148" s="126">
        <f>+Tabla134[[#This Row],[PF AJUSTE 1]]+Tabla134[[#This Row],[AJUSTE 2]]</f>
        <v>0</v>
      </c>
    </row>
    <row r="149" spans="2:13" ht="15" customHeight="1" x14ac:dyDescent="0.2">
      <c r="B149" s="16" t="s">
        <v>1002</v>
      </c>
      <c r="C149" s="16" t="s">
        <v>1004</v>
      </c>
      <c r="D149" s="46" t="s">
        <v>1051</v>
      </c>
      <c r="E149" s="16" t="s">
        <v>1019</v>
      </c>
      <c r="F149" s="16" t="s">
        <v>1023</v>
      </c>
      <c r="G149" s="16" t="s">
        <v>1028</v>
      </c>
      <c r="H149" s="21" t="s">
        <v>247</v>
      </c>
      <c r="I149" s="18" t="str">
        <f t="shared" si="55"/>
        <v>125F</v>
      </c>
      <c r="J149" s="22" t="s">
        <v>241</v>
      </c>
      <c r="K149" s="126">
        <f>+Tabla13[[#This Row],[PF TOTAL]]</f>
        <v>0</v>
      </c>
      <c r="L149" s="126"/>
      <c r="M149" s="126">
        <f>+Tabla134[[#This Row],[PF AJUSTE 1]]+Tabla134[[#This Row],[AJUSTE 2]]</f>
        <v>0</v>
      </c>
    </row>
    <row r="150" spans="2:13" ht="15" customHeight="1" x14ac:dyDescent="0.2">
      <c r="B150" s="16" t="s">
        <v>1002</v>
      </c>
      <c r="C150" s="16" t="s">
        <v>1004</v>
      </c>
      <c r="D150" s="46" t="s">
        <v>1051</v>
      </c>
      <c r="E150" s="16" t="s">
        <v>1015</v>
      </c>
      <c r="F150" s="16" t="s">
        <v>1023</v>
      </c>
      <c r="G150" s="16" t="s">
        <v>1028</v>
      </c>
      <c r="H150" s="21" t="s">
        <v>248</v>
      </c>
      <c r="I150" s="18" t="str">
        <f t="shared" si="55"/>
        <v xml:space="preserve"> 13F</v>
      </c>
      <c r="J150" s="22" t="s">
        <v>241</v>
      </c>
      <c r="K150" s="126">
        <f>+Tabla13[[#This Row],[PF TOTAL]]</f>
        <v>0</v>
      </c>
      <c r="L150" s="126"/>
      <c r="M150" s="126">
        <f>+Tabla134[[#This Row],[PF AJUSTE 1]]+Tabla134[[#This Row],[AJUSTE 2]]</f>
        <v>0</v>
      </c>
    </row>
    <row r="151" spans="2:13" ht="15" customHeight="1" x14ac:dyDescent="0.2">
      <c r="B151" s="16" t="s">
        <v>1002</v>
      </c>
      <c r="C151" s="16" t="s">
        <v>1004</v>
      </c>
      <c r="D151" s="46" t="s">
        <v>1051</v>
      </c>
      <c r="E151" s="16" t="s">
        <v>1015</v>
      </c>
      <c r="F151" s="16" t="s">
        <v>1023</v>
      </c>
      <c r="G151" s="16" t="s">
        <v>1028</v>
      </c>
      <c r="H151" s="21" t="s">
        <v>249</v>
      </c>
      <c r="I151" s="18" t="str">
        <f t="shared" si="55"/>
        <v>152F</v>
      </c>
      <c r="J151" s="22" t="s">
        <v>241</v>
      </c>
      <c r="K151" s="126">
        <f>+Tabla13[[#This Row],[PF TOTAL]]</f>
        <v>0</v>
      </c>
      <c r="L151" s="126"/>
      <c r="M151" s="126">
        <f>+Tabla134[[#This Row],[PF AJUSTE 1]]+Tabla134[[#This Row],[AJUSTE 2]]</f>
        <v>0</v>
      </c>
    </row>
    <row r="152" spans="2:13" ht="15" customHeight="1" x14ac:dyDescent="0.2">
      <c r="B152" s="16" t="s">
        <v>1002</v>
      </c>
      <c r="C152" s="16" t="s">
        <v>1004</v>
      </c>
      <c r="D152" s="46" t="s">
        <v>1051</v>
      </c>
      <c r="E152" s="16" t="s">
        <v>1015</v>
      </c>
      <c r="F152" s="16" t="s">
        <v>1023</v>
      </c>
      <c r="G152" s="16" t="s">
        <v>1028</v>
      </c>
      <c r="H152" s="21" t="s">
        <v>250</v>
      </c>
      <c r="I152" s="18" t="str">
        <f t="shared" si="55"/>
        <v xml:space="preserve"> 17F</v>
      </c>
      <c r="J152" s="22" t="s">
        <v>241</v>
      </c>
      <c r="K152" s="126">
        <f>+Tabla13[[#This Row],[PF TOTAL]]</f>
        <v>0</v>
      </c>
      <c r="L152" s="126"/>
      <c r="M152" s="126">
        <f>+Tabla134[[#This Row],[PF AJUSTE 1]]+Tabla134[[#This Row],[AJUSTE 2]]</f>
        <v>0</v>
      </c>
    </row>
    <row r="153" spans="2:13" ht="15" customHeight="1" x14ac:dyDescent="0.2">
      <c r="B153" s="16" t="s">
        <v>1002</v>
      </c>
      <c r="C153" s="16" t="s">
        <v>1004</v>
      </c>
      <c r="D153" s="46" t="s">
        <v>1051</v>
      </c>
      <c r="E153" s="16" t="s">
        <v>1015</v>
      </c>
      <c r="F153" s="16" t="s">
        <v>1023</v>
      </c>
      <c r="G153" s="16" t="s">
        <v>1028</v>
      </c>
      <c r="H153" s="21" t="s">
        <v>251</v>
      </c>
      <c r="I153" s="18" t="str">
        <f t="shared" si="55"/>
        <v xml:space="preserve"> 18F</v>
      </c>
      <c r="J153" s="22" t="s">
        <v>241</v>
      </c>
      <c r="K153" s="126">
        <f>+Tabla13[[#This Row],[PF TOTAL]]</f>
        <v>0</v>
      </c>
      <c r="L153" s="126"/>
      <c r="M153" s="126">
        <f>+Tabla134[[#This Row],[PF AJUSTE 1]]+Tabla134[[#This Row],[AJUSTE 2]]</f>
        <v>0</v>
      </c>
    </row>
    <row r="154" spans="2:13" ht="15" customHeight="1" x14ac:dyDescent="0.2">
      <c r="B154" s="16" t="s">
        <v>1002</v>
      </c>
      <c r="C154" s="16" t="s">
        <v>1004</v>
      </c>
      <c r="D154" s="46" t="s">
        <v>1051</v>
      </c>
      <c r="E154" s="16" t="s">
        <v>1020</v>
      </c>
      <c r="F154" s="16" t="s">
        <v>1023</v>
      </c>
      <c r="G154" s="16" t="s">
        <v>1028</v>
      </c>
      <c r="H154" s="21" t="s">
        <v>252</v>
      </c>
      <c r="I154" s="18" t="str">
        <f t="shared" si="55"/>
        <v>191F</v>
      </c>
      <c r="J154" s="22" t="s">
        <v>241</v>
      </c>
      <c r="K154" s="126">
        <f>+Tabla13[[#This Row],[PF TOTAL]]</f>
        <v>0</v>
      </c>
      <c r="L154" s="126"/>
      <c r="M154" s="126">
        <f>+Tabla134[[#This Row],[PF AJUSTE 1]]+Tabla134[[#This Row],[AJUSTE 2]]</f>
        <v>0</v>
      </c>
    </row>
    <row r="155" spans="2:13" ht="15" customHeight="1" x14ac:dyDescent="0.2">
      <c r="B155" s="16" t="s">
        <v>1002</v>
      </c>
      <c r="C155" s="16" t="s">
        <v>1004</v>
      </c>
      <c r="D155" s="46" t="s">
        <v>1051</v>
      </c>
      <c r="E155" s="16" t="s">
        <v>1020</v>
      </c>
      <c r="F155" s="16" t="s">
        <v>1023</v>
      </c>
      <c r="G155" s="16" t="s">
        <v>1028</v>
      </c>
      <c r="H155" s="21" t="s">
        <v>253</v>
      </c>
      <c r="I155" s="18" t="str">
        <f t="shared" si="55"/>
        <v>193F</v>
      </c>
      <c r="J155" s="22" t="s">
        <v>241</v>
      </c>
      <c r="K155" s="126">
        <f>+Tabla13[[#This Row],[PF TOTAL]]</f>
        <v>0</v>
      </c>
      <c r="L155" s="126"/>
      <c r="M155" s="126">
        <f>+Tabla134[[#This Row],[PF AJUSTE 1]]+Tabla134[[#This Row],[AJUSTE 2]]</f>
        <v>0</v>
      </c>
    </row>
    <row r="156" spans="2:13" ht="15" customHeight="1" x14ac:dyDescent="0.2">
      <c r="B156" s="16" t="s">
        <v>1002</v>
      </c>
      <c r="C156" s="16" t="s">
        <v>1004</v>
      </c>
      <c r="D156" s="46" t="s">
        <v>1051</v>
      </c>
      <c r="E156" s="16" t="s">
        <v>1014</v>
      </c>
      <c r="F156" s="16" t="s">
        <v>1023</v>
      </c>
      <c r="G156" s="16" t="s">
        <v>1028</v>
      </c>
      <c r="H156" s="21" t="s">
        <v>254</v>
      </c>
      <c r="I156" s="18" t="str">
        <f t="shared" si="55"/>
        <v xml:space="preserve"> 20F</v>
      </c>
      <c r="J156" s="22" t="s">
        <v>241</v>
      </c>
      <c r="K156" s="126">
        <f>+Tabla13[[#This Row],[PF TOTAL]]</f>
        <v>2000000000</v>
      </c>
      <c r="L156" s="126"/>
      <c r="M156" s="126">
        <f>+Tabla134[[#This Row],[PF AJUSTE 1]]+Tabla134[[#This Row],[AJUSTE 2]]</f>
        <v>2000000000</v>
      </c>
    </row>
    <row r="157" spans="2:13" ht="15" customHeight="1" x14ac:dyDescent="0.2">
      <c r="B157" s="16" t="s">
        <v>1002</v>
      </c>
      <c r="C157" s="16" t="s">
        <v>1004</v>
      </c>
      <c r="D157" s="46" t="s">
        <v>1051</v>
      </c>
      <c r="E157" s="16" t="s">
        <v>1015</v>
      </c>
      <c r="F157" s="16" t="s">
        <v>1023</v>
      </c>
      <c r="G157" s="16" t="s">
        <v>1028</v>
      </c>
      <c r="H157" s="21" t="s">
        <v>255</v>
      </c>
      <c r="I157" s="18" t="str">
        <f t="shared" si="55"/>
        <v xml:space="preserve"> 23F</v>
      </c>
      <c r="J157" s="22" t="s">
        <v>241</v>
      </c>
      <c r="K157" s="126">
        <f>+Tabla13[[#This Row],[PF TOTAL]]</f>
        <v>200000000</v>
      </c>
      <c r="L157" s="126"/>
      <c r="M157" s="126">
        <f>+Tabla134[[#This Row],[PF AJUSTE 1]]+Tabla134[[#This Row],[AJUSTE 2]]</f>
        <v>200000000</v>
      </c>
    </row>
    <row r="158" spans="2:13" ht="15" customHeight="1" x14ac:dyDescent="0.2">
      <c r="B158" s="16" t="s">
        <v>1002</v>
      </c>
      <c r="C158" s="16" t="s">
        <v>1004</v>
      </c>
      <c r="D158" s="46" t="s">
        <v>1051</v>
      </c>
      <c r="E158" s="16" t="s">
        <v>1015</v>
      </c>
      <c r="F158" s="16" t="s">
        <v>1023</v>
      </c>
      <c r="G158" s="16" t="s">
        <v>1028</v>
      </c>
      <c r="H158" s="21" t="s">
        <v>256</v>
      </c>
      <c r="I158" s="18" t="str">
        <f t="shared" si="55"/>
        <v xml:space="preserve"> 58F</v>
      </c>
      <c r="J158" s="22" t="s">
        <v>241</v>
      </c>
      <c r="K158" s="126">
        <f>+Tabla13[[#This Row],[PF TOTAL]]</f>
        <v>0</v>
      </c>
      <c r="L158" s="126"/>
      <c r="M158" s="126">
        <f>+Tabla134[[#This Row],[PF AJUSTE 1]]+Tabla134[[#This Row],[AJUSTE 2]]</f>
        <v>0</v>
      </c>
    </row>
    <row r="159" spans="2:13" ht="15" customHeight="1" x14ac:dyDescent="0.2">
      <c r="B159" s="16" t="s">
        <v>1002</v>
      </c>
      <c r="C159" s="16" t="s">
        <v>1004</v>
      </c>
      <c r="D159" s="46" t="s">
        <v>1051</v>
      </c>
      <c r="E159" s="16" t="s">
        <v>1015</v>
      </c>
      <c r="F159" s="16" t="s">
        <v>1023</v>
      </c>
      <c r="G159" s="16" t="s">
        <v>1028</v>
      </c>
      <c r="H159" s="21" t="s">
        <v>257</v>
      </c>
      <c r="I159" s="18" t="str">
        <f t="shared" si="55"/>
        <v xml:space="preserve"> 60F</v>
      </c>
      <c r="J159" s="22" t="s">
        <v>241</v>
      </c>
      <c r="K159" s="126">
        <f>+Tabla13[[#This Row],[PF TOTAL]]</f>
        <v>0</v>
      </c>
      <c r="L159" s="126"/>
      <c r="M159" s="126">
        <f>+Tabla134[[#This Row],[PF AJUSTE 1]]+Tabla134[[#This Row],[AJUSTE 2]]</f>
        <v>0</v>
      </c>
    </row>
    <row r="160" spans="2:13" ht="15" customHeight="1" x14ac:dyDescent="0.2">
      <c r="B160" s="16" t="s">
        <v>1002</v>
      </c>
      <c r="C160" s="16" t="s">
        <v>1004</v>
      </c>
      <c r="D160" s="46" t="s">
        <v>1051</v>
      </c>
      <c r="E160" s="16" t="s">
        <v>1015</v>
      </c>
      <c r="F160" s="16" t="s">
        <v>1023</v>
      </c>
      <c r="G160" s="16" t="s">
        <v>1028</v>
      </c>
      <c r="H160" s="21" t="s">
        <v>258</v>
      </c>
      <c r="I160" s="18" t="str">
        <f t="shared" si="55"/>
        <v xml:space="preserve"> 61F</v>
      </c>
      <c r="J160" s="22" t="s">
        <v>241</v>
      </c>
      <c r="K160" s="126">
        <f>+Tabla13[[#This Row],[PF TOTAL]]</f>
        <v>0</v>
      </c>
      <c r="L160" s="126"/>
      <c r="M160" s="126">
        <f>+Tabla134[[#This Row],[PF AJUSTE 1]]+Tabla134[[#This Row],[AJUSTE 2]]</f>
        <v>0</v>
      </c>
    </row>
    <row r="161" spans="2:13" ht="15" customHeight="1" x14ac:dyDescent="0.2">
      <c r="B161" s="16" t="s">
        <v>1002</v>
      </c>
      <c r="C161" s="16" t="s">
        <v>1004</v>
      </c>
      <c r="D161" s="46" t="s">
        <v>1051</v>
      </c>
      <c r="E161" s="16" t="s">
        <v>1017</v>
      </c>
      <c r="F161" s="16" t="s">
        <v>1023</v>
      </c>
      <c r="G161" s="16" t="s">
        <v>1028</v>
      </c>
      <c r="H161" s="21" t="s">
        <v>259</v>
      </c>
      <c r="I161" s="18" t="str">
        <f t="shared" si="55"/>
        <v xml:space="preserve"> 99F</v>
      </c>
      <c r="J161" s="22" t="s">
        <v>241</v>
      </c>
      <c r="K161" s="126">
        <f>+Tabla13[[#This Row],[PF TOTAL]]</f>
        <v>0</v>
      </c>
      <c r="L161" s="126"/>
      <c r="M161" s="126">
        <f>+Tabla134[[#This Row],[PF AJUSTE 1]]+Tabla134[[#This Row],[AJUSTE 2]]</f>
        <v>0</v>
      </c>
    </row>
    <row r="162" spans="2:13" s="13" customFormat="1" ht="15.75" customHeight="1" x14ac:dyDescent="0.25">
      <c r="B162" s="24"/>
      <c r="C162" s="24"/>
      <c r="D162" s="24"/>
      <c r="E162" s="24"/>
      <c r="F162" s="24"/>
      <c r="G162" s="24"/>
      <c r="H162" s="17" t="s">
        <v>260</v>
      </c>
      <c r="I162" s="18"/>
      <c r="J162" s="19" t="s">
        <v>261</v>
      </c>
      <c r="K162" s="152">
        <f>+K163</f>
        <v>0</v>
      </c>
      <c r="L162" s="152">
        <f t="shared" ref="L162:M163" si="56">+L163</f>
        <v>0</v>
      </c>
      <c r="M162" s="152">
        <f t="shared" si="56"/>
        <v>0</v>
      </c>
    </row>
    <row r="163" spans="2:13" s="13" customFormat="1" ht="15.75" customHeight="1" x14ac:dyDescent="0.25">
      <c r="B163" s="24"/>
      <c r="C163" s="24"/>
      <c r="D163" s="24"/>
      <c r="E163" s="24"/>
      <c r="F163" s="24"/>
      <c r="G163" s="24"/>
      <c r="H163" s="17" t="s">
        <v>262</v>
      </c>
      <c r="I163" s="18"/>
      <c r="J163" s="19" t="s">
        <v>263</v>
      </c>
      <c r="K163" s="152">
        <f>+K164</f>
        <v>0</v>
      </c>
      <c r="L163" s="152">
        <f t="shared" si="56"/>
        <v>0</v>
      </c>
      <c r="M163" s="152">
        <f t="shared" si="56"/>
        <v>0</v>
      </c>
    </row>
    <row r="164" spans="2:13" ht="15" customHeight="1" x14ac:dyDescent="0.2">
      <c r="B164" s="16" t="s">
        <v>1002</v>
      </c>
      <c r="C164" s="16" t="s">
        <v>1004</v>
      </c>
      <c r="D164" s="46" t="s">
        <v>1051</v>
      </c>
      <c r="E164" s="16" t="s">
        <v>1019</v>
      </c>
      <c r="F164" s="16" t="s">
        <v>1023</v>
      </c>
      <c r="G164" s="16" t="s">
        <v>1019</v>
      </c>
      <c r="H164" s="21" t="s">
        <v>264</v>
      </c>
      <c r="I164" s="18" t="str">
        <f>RIGHT(H164,4)</f>
        <v xml:space="preserve"> 125</v>
      </c>
      <c r="J164" s="22" t="s">
        <v>265</v>
      </c>
      <c r="K164" s="126">
        <f>+Tabla13[[#This Row],[PF TOTAL]]</f>
        <v>0</v>
      </c>
      <c r="L164" s="126"/>
      <c r="M164" s="126">
        <f>+Tabla134[[#This Row],[PF AJUSTE 1]]+Tabla134[[#This Row],[AJUSTE 2]]</f>
        <v>0</v>
      </c>
    </row>
    <row r="165" spans="2:13" s="13" customFormat="1" ht="15.75" customHeight="1" x14ac:dyDescent="0.25">
      <c r="B165" s="24"/>
      <c r="C165" s="24"/>
      <c r="D165" s="24"/>
      <c r="E165" s="24"/>
      <c r="F165" s="24"/>
      <c r="G165" s="24"/>
      <c r="H165" s="17" t="s">
        <v>266</v>
      </c>
      <c r="I165" s="18"/>
      <c r="J165" s="19" t="s">
        <v>267</v>
      </c>
      <c r="K165" s="152">
        <f>+K166+K171</f>
        <v>0</v>
      </c>
      <c r="L165" s="152">
        <f t="shared" ref="L165:M165" si="57">+L166+L171</f>
        <v>0</v>
      </c>
      <c r="M165" s="152">
        <f t="shared" si="57"/>
        <v>0</v>
      </c>
    </row>
    <row r="166" spans="2:13" s="13" customFormat="1" ht="15.75" customHeight="1" x14ac:dyDescent="0.25">
      <c r="B166" s="24"/>
      <c r="C166" s="24"/>
      <c r="D166" s="24"/>
      <c r="E166" s="24"/>
      <c r="F166" s="24"/>
      <c r="G166" s="24"/>
      <c r="H166" s="17" t="s">
        <v>268</v>
      </c>
      <c r="I166" s="18"/>
      <c r="J166" s="19" t="s">
        <v>269</v>
      </c>
      <c r="K166" s="152">
        <f>+K167+K168+K169+K170</f>
        <v>0</v>
      </c>
      <c r="L166" s="152">
        <f t="shared" ref="L166:M166" si="58">+L167+L168+L169+L170</f>
        <v>0</v>
      </c>
      <c r="M166" s="152">
        <f t="shared" si="58"/>
        <v>0</v>
      </c>
    </row>
    <row r="167" spans="2:13" ht="15" customHeight="1" x14ac:dyDescent="0.2">
      <c r="B167" s="16" t="s">
        <v>1002</v>
      </c>
      <c r="C167" s="16" t="s">
        <v>1004</v>
      </c>
      <c r="D167" s="46" t="s">
        <v>1051</v>
      </c>
      <c r="E167" s="16" t="s">
        <v>1018</v>
      </c>
      <c r="F167" s="16" t="s">
        <v>1023</v>
      </c>
      <c r="G167" s="16" t="s">
        <v>1029</v>
      </c>
      <c r="H167" s="21" t="s">
        <v>691</v>
      </c>
      <c r="I167" s="18" t="str">
        <f t="shared" ref="I167:I188" si="59">RIGHT(H167,4)</f>
        <v xml:space="preserve"> 0RB</v>
      </c>
      <c r="J167" s="22" t="s">
        <v>269</v>
      </c>
      <c r="K167" s="126">
        <f>+Tabla13[[#This Row],[PF TOTAL]]</f>
        <v>0</v>
      </c>
      <c r="L167" s="126"/>
      <c r="M167" s="126">
        <f>+Tabla134[[#This Row],[PF AJUSTE 1]]+Tabla134[[#This Row],[AJUSTE 2]]</f>
        <v>0</v>
      </c>
    </row>
    <row r="168" spans="2:13" ht="15" customHeight="1" x14ac:dyDescent="0.2">
      <c r="B168" s="16" t="s">
        <v>1002</v>
      </c>
      <c r="C168" s="16" t="s">
        <v>1004</v>
      </c>
      <c r="D168" s="46" t="s">
        <v>1051</v>
      </c>
      <c r="E168" s="16" t="s">
        <v>1016</v>
      </c>
      <c r="F168" s="16" t="s">
        <v>1023</v>
      </c>
      <c r="G168" s="16" t="s">
        <v>1029</v>
      </c>
      <c r="H168" s="21" t="s">
        <v>692</v>
      </c>
      <c r="I168" s="18" t="str">
        <f t="shared" si="59"/>
        <v>04DR</v>
      </c>
      <c r="J168" s="22" t="s">
        <v>269</v>
      </c>
      <c r="K168" s="126">
        <f>+Tabla13[[#This Row],[PF TOTAL]]</f>
        <v>0</v>
      </c>
      <c r="L168" s="126"/>
      <c r="M168" s="126">
        <f>+Tabla134[[#This Row],[PF AJUSTE 1]]+Tabla134[[#This Row],[AJUSTE 2]]</f>
        <v>0</v>
      </c>
    </row>
    <row r="169" spans="2:13" ht="15" customHeight="1" x14ac:dyDescent="0.2">
      <c r="B169" s="16" t="s">
        <v>1002</v>
      </c>
      <c r="C169" s="16" t="s">
        <v>1004</v>
      </c>
      <c r="D169" s="46" t="s">
        <v>1051</v>
      </c>
      <c r="E169" s="16" t="s">
        <v>1020</v>
      </c>
      <c r="F169" s="16" t="s">
        <v>1023</v>
      </c>
      <c r="G169" s="16" t="s">
        <v>1029</v>
      </c>
      <c r="H169" s="21" t="s">
        <v>693</v>
      </c>
      <c r="I169" s="18" t="str">
        <f t="shared" si="59"/>
        <v>191R</v>
      </c>
      <c r="J169" s="22" t="s">
        <v>269</v>
      </c>
      <c r="K169" s="126">
        <f>+Tabla13[[#This Row],[PF TOTAL]]</f>
        <v>0</v>
      </c>
      <c r="L169" s="126"/>
      <c r="M169" s="126">
        <f>+Tabla134[[#This Row],[PF AJUSTE 1]]+Tabla134[[#This Row],[AJUSTE 2]]</f>
        <v>0</v>
      </c>
    </row>
    <row r="170" spans="2:13" ht="15" customHeight="1" x14ac:dyDescent="0.2">
      <c r="B170" s="16" t="s">
        <v>1002</v>
      </c>
      <c r="C170" s="16" t="s">
        <v>1004</v>
      </c>
      <c r="D170" s="46" t="s">
        <v>1051</v>
      </c>
      <c r="E170" s="16" t="s">
        <v>1014</v>
      </c>
      <c r="F170" s="16" t="s">
        <v>1023</v>
      </c>
      <c r="G170" s="16" t="s">
        <v>1029</v>
      </c>
      <c r="H170" s="21" t="s">
        <v>694</v>
      </c>
      <c r="I170" s="18" t="str">
        <f t="shared" si="59"/>
        <v>20RB</v>
      </c>
      <c r="J170" s="22" t="s">
        <v>269</v>
      </c>
      <c r="K170" s="126">
        <f>+Tabla13[[#This Row],[PF TOTAL]]</f>
        <v>0</v>
      </c>
      <c r="L170" s="126"/>
      <c r="M170" s="126">
        <f>+Tabla134[[#This Row],[PF AJUSTE 1]]+Tabla134[[#This Row],[AJUSTE 2]]</f>
        <v>0</v>
      </c>
    </row>
    <row r="171" spans="2:13" s="13" customFormat="1" ht="15.75" customHeight="1" x14ac:dyDescent="0.25">
      <c r="B171" s="24"/>
      <c r="C171" s="24"/>
      <c r="D171" s="24"/>
      <c r="E171" s="24"/>
      <c r="F171" s="24"/>
      <c r="G171" s="24"/>
      <c r="H171" s="17" t="s">
        <v>270</v>
      </c>
      <c r="I171" s="18"/>
      <c r="J171" s="19" t="s">
        <v>271</v>
      </c>
      <c r="K171" s="152">
        <f>SUM(K172:K188)</f>
        <v>0</v>
      </c>
      <c r="L171" s="152">
        <f t="shared" ref="L171:M171" si="60">SUM(L172:L188)</f>
        <v>0</v>
      </c>
      <c r="M171" s="152">
        <f t="shared" si="60"/>
        <v>0</v>
      </c>
    </row>
    <row r="172" spans="2:13" ht="15" customHeight="1" x14ac:dyDescent="0.2">
      <c r="B172" s="16" t="s">
        <v>1002</v>
      </c>
      <c r="C172" s="16" t="s">
        <v>1004</v>
      </c>
      <c r="D172" s="46" t="s">
        <v>1051</v>
      </c>
      <c r="E172" s="16" t="s">
        <v>1018</v>
      </c>
      <c r="F172" s="16" t="s">
        <v>1023</v>
      </c>
      <c r="G172" s="16" t="s">
        <v>1030</v>
      </c>
      <c r="H172" s="21" t="s">
        <v>695</v>
      </c>
      <c r="I172" s="18" t="str">
        <f t="shared" si="59"/>
        <v>0FRB</v>
      </c>
      <c r="J172" s="22" t="s">
        <v>271</v>
      </c>
      <c r="K172" s="126">
        <f>+Tabla13[[#This Row],[PF TOTAL]]</f>
        <v>0</v>
      </c>
      <c r="L172" s="126"/>
      <c r="M172" s="126">
        <f>+Tabla134[[#This Row],[PF AJUSTE 1]]+Tabla134[[#This Row],[AJUSTE 2]]</f>
        <v>0</v>
      </c>
    </row>
    <row r="173" spans="2:13" ht="15" customHeight="1" x14ac:dyDescent="0.2">
      <c r="B173" s="16" t="s">
        <v>1002</v>
      </c>
      <c r="C173" s="16" t="s">
        <v>1004</v>
      </c>
      <c r="D173" s="46" t="s">
        <v>1051</v>
      </c>
      <c r="E173" s="16" t="s">
        <v>1018</v>
      </c>
      <c r="F173" s="16" t="s">
        <v>1023</v>
      </c>
      <c r="G173" s="16" t="s">
        <v>1030</v>
      </c>
      <c r="H173" s="21" t="s">
        <v>696</v>
      </c>
      <c r="I173" s="18" t="str">
        <f t="shared" si="59"/>
        <v>0PRB</v>
      </c>
      <c r="J173" s="22" t="s">
        <v>271</v>
      </c>
      <c r="K173" s="126">
        <f>+Tabla13[[#This Row],[PF TOTAL]]</f>
        <v>0</v>
      </c>
      <c r="L173" s="126"/>
      <c r="M173" s="126">
        <f>+Tabla134[[#This Row],[PF AJUSTE 1]]+Tabla134[[#This Row],[AJUSTE 2]]</f>
        <v>0</v>
      </c>
    </row>
    <row r="174" spans="2:13" ht="15" customHeight="1" x14ac:dyDescent="0.2">
      <c r="B174" s="16" t="s">
        <v>1002</v>
      </c>
      <c r="C174" s="16" t="s">
        <v>1004</v>
      </c>
      <c r="D174" s="46" t="s">
        <v>1051</v>
      </c>
      <c r="E174" s="16" t="s">
        <v>1015</v>
      </c>
      <c r="F174" s="16" t="s">
        <v>1023</v>
      </c>
      <c r="G174" s="16" t="s">
        <v>1030</v>
      </c>
      <c r="H174" s="21" t="s">
        <v>697</v>
      </c>
      <c r="I174" s="18" t="str">
        <f t="shared" si="59"/>
        <v>01RB</v>
      </c>
      <c r="J174" s="22" t="s">
        <v>271</v>
      </c>
      <c r="K174" s="126">
        <f>+Tabla13[[#This Row],[PF TOTAL]]</f>
        <v>0</v>
      </c>
      <c r="L174" s="126"/>
      <c r="M174" s="126">
        <f>+Tabla134[[#This Row],[PF AJUSTE 1]]+Tabla134[[#This Row],[AJUSTE 2]]</f>
        <v>0</v>
      </c>
    </row>
    <row r="175" spans="2:13" ht="15" customHeight="1" x14ac:dyDescent="0.2">
      <c r="B175" s="16" t="s">
        <v>1002</v>
      </c>
      <c r="C175" s="16" t="s">
        <v>1004</v>
      </c>
      <c r="D175" s="46" t="s">
        <v>1051</v>
      </c>
      <c r="E175" s="16" t="s">
        <v>1016</v>
      </c>
      <c r="F175" s="16" t="s">
        <v>1023</v>
      </c>
      <c r="G175" s="16" t="s">
        <v>1030</v>
      </c>
      <c r="H175" s="21" t="s">
        <v>698</v>
      </c>
      <c r="I175" s="18" t="str">
        <f t="shared" si="59"/>
        <v>04RB</v>
      </c>
      <c r="J175" s="22" t="s">
        <v>271</v>
      </c>
      <c r="K175" s="126">
        <f>+Tabla13[[#This Row],[PF TOTAL]]</f>
        <v>0</v>
      </c>
      <c r="L175" s="126"/>
      <c r="M175" s="126">
        <f>+Tabla134[[#This Row],[PF AJUSTE 1]]+Tabla134[[#This Row],[AJUSTE 2]]</f>
        <v>0</v>
      </c>
    </row>
    <row r="176" spans="2:13" ht="15" customHeight="1" x14ac:dyDescent="0.2">
      <c r="B176" s="16" t="s">
        <v>1002</v>
      </c>
      <c r="C176" s="16" t="s">
        <v>1004</v>
      </c>
      <c r="D176" s="46" t="s">
        <v>1051</v>
      </c>
      <c r="E176" s="16" t="s">
        <v>1016</v>
      </c>
      <c r="F176" s="16" t="s">
        <v>1023</v>
      </c>
      <c r="G176" s="16" t="s">
        <v>1030</v>
      </c>
      <c r="H176" s="21" t="s">
        <v>699</v>
      </c>
      <c r="I176" s="18" t="str">
        <f t="shared" si="59"/>
        <v>05RB</v>
      </c>
      <c r="J176" s="22" t="s">
        <v>271</v>
      </c>
      <c r="K176" s="126">
        <f>+Tabla13[[#This Row],[PF TOTAL]]</f>
        <v>0</v>
      </c>
      <c r="L176" s="126"/>
      <c r="M176" s="126">
        <f>+Tabla134[[#This Row],[PF AJUSTE 1]]+Tabla134[[#This Row],[AJUSTE 2]]</f>
        <v>0</v>
      </c>
    </row>
    <row r="177" spans="2:13" ht="15" customHeight="1" x14ac:dyDescent="0.2">
      <c r="B177" s="16" t="s">
        <v>1002</v>
      </c>
      <c r="C177" s="16" t="s">
        <v>1004</v>
      </c>
      <c r="D177" s="46" t="s">
        <v>1051</v>
      </c>
      <c r="E177" s="16" t="s">
        <v>1016</v>
      </c>
      <c r="F177" s="16" t="s">
        <v>1023</v>
      </c>
      <c r="G177" s="16" t="s">
        <v>1030</v>
      </c>
      <c r="H177" s="21" t="s">
        <v>700</v>
      </c>
      <c r="I177" s="18" t="str">
        <f t="shared" si="59"/>
        <v>08RB</v>
      </c>
      <c r="J177" s="22" t="s">
        <v>271</v>
      </c>
      <c r="K177" s="126">
        <f>+Tabla13[[#This Row],[PF TOTAL]]</f>
        <v>0</v>
      </c>
      <c r="L177" s="126"/>
      <c r="M177" s="126">
        <f>+Tabla134[[#This Row],[PF AJUSTE 1]]+Tabla134[[#This Row],[AJUSTE 2]]</f>
        <v>0</v>
      </c>
    </row>
    <row r="178" spans="2:13" ht="15" customHeight="1" x14ac:dyDescent="0.2">
      <c r="B178" s="16" t="s">
        <v>1002</v>
      </c>
      <c r="C178" s="16" t="s">
        <v>1004</v>
      </c>
      <c r="D178" s="46" t="s">
        <v>1051</v>
      </c>
      <c r="E178" s="16" t="s">
        <v>1015</v>
      </c>
      <c r="F178" s="16" t="s">
        <v>1023</v>
      </c>
      <c r="G178" s="16" t="s">
        <v>1030</v>
      </c>
      <c r="H178" s="21" t="s">
        <v>701</v>
      </c>
      <c r="I178" s="18" t="str">
        <f t="shared" si="59"/>
        <v>10RB</v>
      </c>
      <c r="J178" s="22" t="s">
        <v>271</v>
      </c>
      <c r="K178" s="126">
        <f>+Tabla13[[#This Row],[PF TOTAL]]</f>
        <v>0</v>
      </c>
      <c r="L178" s="126"/>
      <c r="M178" s="126">
        <f>+Tabla134[[#This Row],[PF AJUSTE 1]]+Tabla134[[#This Row],[AJUSTE 2]]</f>
        <v>0</v>
      </c>
    </row>
    <row r="179" spans="2:13" ht="15" customHeight="1" x14ac:dyDescent="0.2">
      <c r="B179" s="16" t="s">
        <v>1002</v>
      </c>
      <c r="C179" s="16" t="s">
        <v>1004</v>
      </c>
      <c r="D179" s="46" t="s">
        <v>1051</v>
      </c>
      <c r="E179" s="16" t="s">
        <v>1015</v>
      </c>
      <c r="F179" s="16" t="s">
        <v>1023</v>
      </c>
      <c r="G179" s="16" t="s">
        <v>1030</v>
      </c>
      <c r="H179" s="21" t="s">
        <v>702</v>
      </c>
      <c r="I179" s="18" t="str">
        <f t="shared" si="59"/>
        <v>100I</v>
      </c>
      <c r="J179" s="22" t="s">
        <v>271</v>
      </c>
      <c r="K179" s="126">
        <f>+Tabla13[[#This Row],[PF TOTAL]]</f>
        <v>0</v>
      </c>
      <c r="L179" s="126"/>
      <c r="M179" s="126">
        <f>+Tabla134[[#This Row],[PF AJUSTE 1]]+Tabla134[[#This Row],[AJUSTE 2]]</f>
        <v>0</v>
      </c>
    </row>
    <row r="180" spans="2:13" ht="15" customHeight="1" x14ac:dyDescent="0.2">
      <c r="B180" s="16" t="s">
        <v>1002</v>
      </c>
      <c r="C180" s="16" t="s">
        <v>1004</v>
      </c>
      <c r="D180" s="46" t="s">
        <v>1051</v>
      </c>
      <c r="E180" s="16" t="s">
        <v>1015</v>
      </c>
      <c r="F180" s="16" t="s">
        <v>1023</v>
      </c>
      <c r="G180" s="16" t="s">
        <v>1030</v>
      </c>
      <c r="H180" s="21" t="s">
        <v>703</v>
      </c>
      <c r="I180" s="18" t="str">
        <f t="shared" si="59"/>
        <v>13RB</v>
      </c>
      <c r="J180" s="22" t="s">
        <v>271</v>
      </c>
      <c r="K180" s="126">
        <f>+Tabla13[[#This Row],[PF TOTAL]]</f>
        <v>0</v>
      </c>
      <c r="L180" s="126"/>
      <c r="M180" s="126">
        <f>+Tabla134[[#This Row],[PF AJUSTE 1]]+Tabla134[[#This Row],[AJUSTE 2]]</f>
        <v>0</v>
      </c>
    </row>
    <row r="181" spans="2:13" ht="15" customHeight="1" x14ac:dyDescent="0.2">
      <c r="B181" s="16" t="s">
        <v>1002</v>
      </c>
      <c r="C181" s="16" t="s">
        <v>1004</v>
      </c>
      <c r="D181" s="46" t="s">
        <v>1051</v>
      </c>
      <c r="E181" s="16" t="s">
        <v>1015</v>
      </c>
      <c r="F181" s="16" t="s">
        <v>1023</v>
      </c>
      <c r="G181" s="16" t="s">
        <v>1030</v>
      </c>
      <c r="H181" s="21" t="s">
        <v>704</v>
      </c>
      <c r="I181" s="18" t="str">
        <f t="shared" si="59"/>
        <v>14RB</v>
      </c>
      <c r="J181" s="22" t="s">
        <v>271</v>
      </c>
      <c r="K181" s="126">
        <f>+Tabla13[[#This Row],[PF TOTAL]]</f>
        <v>0</v>
      </c>
      <c r="L181" s="126"/>
      <c r="M181" s="126">
        <f>+Tabla134[[#This Row],[PF AJUSTE 1]]+Tabla134[[#This Row],[AJUSTE 2]]</f>
        <v>0</v>
      </c>
    </row>
    <row r="182" spans="2:13" ht="15" customHeight="1" x14ac:dyDescent="0.2">
      <c r="B182" s="16" t="s">
        <v>1002</v>
      </c>
      <c r="C182" s="16" t="s">
        <v>1004</v>
      </c>
      <c r="D182" s="46" t="s">
        <v>1051</v>
      </c>
      <c r="E182" s="16" t="s">
        <v>1020</v>
      </c>
      <c r="F182" s="16" t="s">
        <v>1023</v>
      </c>
      <c r="G182" s="16" t="s">
        <v>1030</v>
      </c>
      <c r="H182" s="21" t="s">
        <v>705</v>
      </c>
      <c r="I182" s="18" t="str">
        <f t="shared" si="59"/>
        <v>191R</v>
      </c>
      <c r="J182" s="22" t="s">
        <v>271</v>
      </c>
      <c r="K182" s="126">
        <f>+Tabla13[[#This Row],[PF TOTAL]]</f>
        <v>0</v>
      </c>
      <c r="L182" s="126"/>
      <c r="M182" s="126">
        <f>+Tabla134[[#This Row],[PF AJUSTE 1]]+Tabla134[[#This Row],[AJUSTE 2]]</f>
        <v>0</v>
      </c>
    </row>
    <row r="183" spans="2:13" ht="15" customHeight="1" x14ac:dyDescent="0.2">
      <c r="B183" s="16" t="s">
        <v>1002</v>
      </c>
      <c r="C183" s="16" t="s">
        <v>1004</v>
      </c>
      <c r="D183" s="46" t="s">
        <v>1051</v>
      </c>
      <c r="E183" s="16" t="s">
        <v>1020</v>
      </c>
      <c r="F183" s="16" t="s">
        <v>1023</v>
      </c>
      <c r="G183" s="16" t="s">
        <v>1030</v>
      </c>
      <c r="H183" s="21" t="s">
        <v>706</v>
      </c>
      <c r="I183" s="18" t="str">
        <f t="shared" si="59"/>
        <v>193R</v>
      </c>
      <c r="J183" s="22" t="s">
        <v>271</v>
      </c>
      <c r="K183" s="126">
        <f>+Tabla13[[#This Row],[PF TOTAL]]</f>
        <v>0</v>
      </c>
      <c r="L183" s="126"/>
      <c r="M183" s="126">
        <f>+Tabla134[[#This Row],[PF AJUSTE 1]]+Tabla134[[#This Row],[AJUSTE 2]]</f>
        <v>0</v>
      </c>
    </row>
    <row r="184" spans="2:13" ht="15" customHeight="1" x14ac:dyDescent="0.2">
      <c r="B184" s="16" t="s">
        <v>1002</v>
      </c>
      <c r="C184" s="16" t="s">
        <v>1004</v>
      </c>
      <c r="D184" s="46" t="s">
        <v>1051</v>
      </c>
      <c r="E184" s="16" t="s">
        <v>1014</v>
      </c>
      <c r="F184" s="16" t="s">
        <v>1023</v>
      </c>
      <c r="G184" s="16" t="s">
        <v>1030</v>
      </c>
      <c r="H184" s="21" t="s">
        <v>707</v>
      </c>
      <c r="I184" s="18" t="str">
        <f t="shared" si="59"/>
        <v>20RB</v>
      </c>
      <c r="J184" s="22" t="s">
        <v>271</v>
      </c>
      <c r="K184" s="126">
        <f>+Tabla13[[#This Row],[PF TOTAL]]</f>
        <v>0</v>
      </c>
      <c r="L184" s="126"/>
      <c r="M184" s="126">
        <f>+Tabla134[[#This Row],[PF AJUSTE 1]]+Tabla134[[#This Row],[AJUSTE 2]]</f>
        <v>0</v>
      </c>
    </row>
    <row r="185" spans="2:13" ht="15" customHeight="1" x14ac:dyDescent="0.2">
      <c r="B185" s="16" t="s">
        <v>1002</v>
      </c>
      <c r="C185" s="16" t="s">
        <v>1004</v>
      </c>
      <c r="D185" s="46" t="s">
        <v>1051</v>
      </c>
      <c r="E185" s="16" t="s">
        <v>1015</v>
      </c>
      <c r="F185" s="16" t="s">
        <v>1023</v>
      </c>
      <c r="G185" s="16" t="s">
        <v>1030</v>
      </c>
      <c r="H185" s="21" t="s">
        <v>708</v>
      </c>
      <c r="I185" s="18" t="str">
        <f t="shared" si="59"/>
        <v>23RB</v>
      </c>
      <c r="J185" s="22" t="s">
        <v>271</v>
      </c>
      <c r="K185" s="126">
        <f>+Tabla13[[#This Row],[PF TOTAL]]</f>
        <v>0</v>
      </c>
      <c r="L185" s="126"/>
      <c r="M185" s="126">
        <f>+Tabla134[[#This Row],[PF AJUSTE 1]]+Tabla134[[#This Row],[AJUSTE 2]]</f>
        <v>0</v>
      </c>
    </row>
    <row r="186" spans="2:13" ht="15" customHeight="1" x14ac:dyDescent="0.2">
      <c r="B186" s="16" t="s">
        <v>1002</v>
      </c>
      <c r="C186" s="16" t="s">
        <v>1004</v>
      </c>
      <c r="D186" s="46" t="s">
        <v>1051</v>
      </c>
      <c r="E186" s="16" t="s">
        <v>1015</v>
      </c>
      <c r="F186" s="16" t="s">
        <v>1023</v>
      </c>
      <c r="G186" s="16" t="s">
        <v>1030</v>
      </c>
      <c r="H186" s="21" t="s">
        <v>709</v>
      </c>
      <c r="I186" s="18" t="str">
        <f t="shared" si="59"/>
        <v>60RB</v>
      </c>
      <c r="J186" s="22" t="s">
        <v>271</v>
      </c>
      <c r="K186" s="126">
        <f>+Tabla13[[#This Row],[PF TOTAL]]</f>
        <v>0</v>
      </c>
      <c r="L186" s="126"/>
      <c r="M186" s="126">
        <f>+Tabla134[[#This Row],[PF AJUSTE 1]]+Tabla134[[#This Row],[AJUSTE 2]]</f>
        <v>0</v>
      </c>
    </row>
    <row r="187" spans="2:13" ht="15" customHeight="1" x14ac:dyDescent="0.2">
      <c r="B187" s="16" t="s">
        <v>1002</v>
      </c>
      <c r="C187" s="16" t="s">
        <v>1004</v>
      </c>
      <c r="D187" s="46" t="s">
        <v>1051</v>
      </c>
      <c r="E187" s="16" t="s">
        <v>1015</v>
      </c>
      <c r="F187" s="16" t="s">
        <v>1023</v>
      </c>
      <c r="G187" s="16" t="s">
        <v>1030</v>
      </c>
      <c r="H187" s="21" t="s">
        <v>710</v>
      </c>
      <c r="I187" s="18" t="str">
        <f t="shared" si="59"/>
        <v>61RB</v>
      </c>
      <c r="J187" s="22" t="s">
        <v>271</v>
      </c>
      <c r="K187" s="126">
        <f>+Tabla13[[#This Row],[PF TOTAL]]</f>
        <v>0</v>
      </c>
      <c r="L187" s="126"/>
      <c r="M187" s="126">
        <f>+Tabla134[[#This Row],[PF AJUSTE 1]]+Tabla134[[#This Row],[AJUSTE 2]]</f>
        <v>0</v>
      </c>
    </row>
    <row r="188" spans="2:13" ht="15" customHeight="1" x14ac:dyDescent="0.2">
      <c r="B188" s="16" t="s">
        <v>1002</v>
      </c>
      <c r="C188" s="16" t="s">
        <v>1004</v>
      </c>
      <c r="D188" s="46" t="s">
        <v>1051</v>
      </c>
      <c r="E188" s="16" t="s">
        <v>1017</v>
      </c>
      <c r="F188" s="16" t="s">
        <v>1023</v>
      </c>
      <c r="G188" s="16" t="s">
        <v>1030</v>
      </c>
      <c r="H188" s="21" t="s">
        <v>711</v>
      </c>
      <c r="I188" s="18" t="str">
        <f t="shared" si="59"/>
        <v>99RB</v>
      </c>
      <c r="J188" s="22" t="s">
        <v>271</v>
      </c>
      <c r="K188" s="126">
        <f>+Tabla13[[#This Row],[PF TOTAL]]</f>
        <v>0</v>
      </c>
      <c r="L188" s="126"/>
      <c r="M188" s="126">
        <f>+Tabla134[[#This Row],[PF AJUSTE 1]]+Tabla134[[#This Row],[AJUSTE 2]]</f>
        <v>0</v>
      </c>
    </row>
    <row r="189" spans="2:13" s="13" customFormat="1" ht="15.75" customHeight="1" x14ac:dyDescent="0.25">
      <c r="B189" s="24"/>
      <c r="C189" s="24"/>
      <c r="D189" s="24"/>
      <c r="E189" s="24"/>
      <c r="F189" s="24"/>
      <c r="G189" s="24"/>
      <c r="H189" s="17" t="s">
        <v>272</v>
      </c>
      <c r="I189" s="18"/>
      <c r="J189" s="19" t="s">
        <v>273</v>
      </c>
      <c r="K189" s="152">
        <f>+K190</f>
        <v>0</v>
      </c>
      <c r="L189" s="152">
        <f t="shared" ref="L189:M189" si="61">+L190</f>
        <v>0</v>
      </c>
      <c r="M189" s="152">
        <f t="shared" si="61"/>
        <v>0</v>
      </c>
    </row>
    <row r="190" spans="2:13" s="13" customFormat="1" ht="15.75" customHeight="1" x14ac:dyDescent="0.25">
      <c r="B190" s="24"/>
      <c r="C190" s="24"/>
      <c r="D190" s="24"/>
      <c r="E190" s="24"/>
      <c r="F190" s="24"/>
      <c r="G190" s="24"/>
      <c r="H190" s="17" t="s">
        <v>274</v>
      </c>
      <c r="I190" s="18"/>
      <c r="J190" s="19" t="s">
        <v>275</v>
      </c>
      <c r="K190" s="152">
        <f>SUM(K191:K201)</f>
        <v>0</v>
      </c>
      <c r="L190" s="152">
        <f t="shared" ref="L190:M190" si="62">SUM(L191:L201)</f>
        <v>0</v>
      </c>
      <c r="M190" s="152">
        <f t="shared" si="62"/>
        <v>0</v>
      </c>
    </row>
    <row r="191" spans="2:13" ht="15" customHeight="1" x14ac:dyDescent="0.2">
      <c r="B191" s="16" t="s">
        <v>1002</v>
      </c>
      <c r="C191" s="16" t="s">
        <v>1004</v>
      </c>
      <c r="D191" s="46" t="s">
        <v>1051</v>
      </c>
      <c r="E191" s="16" t="s">
        <v>1016</v>
      </c>
      <c r="F191" s="16" t="s">
        <v>1023</v>
      </c>
      <c r="G191" s="16" t="s">
        <v>1031</v>
      </c>
      <c r="H191" s="21" t="s">
        <v>276</v>
      </c>
      <c r="I191" s="18" t="str">
        <f t="shared" ref="I191:I203" si="63">RIGHT(H191,4)</f>
        <v>- 04</v>
      </c>
      <c r="J191" s="22" t="s">
        <v>275</v>
      </c>
      <c r="K191" s="126">
        <f>+Tabla13[[#This Row],[PF TOTAL]]</f>
        <v>0</v>
      </c>
      <c r="L191" s="126"/>
      <c r="M191" s="126">
        <f>+Tabla134[[#This Row],[PF AJUSTE 1]]+Tabla134[[#This Row],[AJUSTE 2]]</f>
        <v>0</v>
      </c>
    </row>
    <row r="192" spans="2:13" ht="15" customHeight="1" x14ac:dyDescent="0.2">
      <c r="B192" s="16" t="s">
        <v>1002</v>
      </c>
      <c r="C192" s="16" t="s">
        <v>1004</v>
      </c>
      <c r="D192" s="46" t="s">
        <v>1051</v>
      </c>
      <c r="E192" s="16" t="s">
        <v>1016</v>
      </c>
      <c r="F192" s="16" t="s">
        <v>1023</v>
      </c>
      <c r="G192" s="16" t="s">
        <v>1031</v>
      </c>
      <c r="H192" s="21" t="s">
        <v>712</v>
      </c>
      <c r="I192" s="18" t="str">
        <f t="shared" si="63"/>
        <v>- 05</v>
      </c>
      <c r="J192" s="22" t="s">
        <v>275</v>
      </c>
      <c r="K192" s="126">
        <f>+Tabla13[[#This Row],[PF TOTAL]]</f>
        <v>0</v>
      </c>
      <c r="L192" s="126"/>
      <c r="M192" s="126">
        <f>+Tabla134[[#This Row],[PF AJUSTE 1]]+Tabla134[[#This Row],[AJUSTE 2]]</f>
        <v>0</v>
      </c>
    </row>
    <row r="193" spans="2:13" ht="15" customHeight="1" x14ac:dyDescent="0.2">
      <c r="B193" s="16" t="s">
        <v>1002</v>
      </c>
      <c r="C193" s="16" t="s">
        <v>1004</v>
      </c>
      <c r="D193" s="46" t="s">
        <v>1051</v>
      </c>
      <c r="E193" s="16" t="s">
        <v>1016</v>
      </c>
      <c r="F193" s="16" t="s">
        <v>1023</v>
      </c>
      <c r="G193" s="16" t="s">
        <v>1031</v>
      </c>
      <c r="H193" s="21" t="s">
        <v>713</v>
      </c>
      <c r="I193" s="18" t="str">
        <f t="shared" si="63"/>
        <v>- 08</v>
      </c>
      <c r="J193" s="22" t="s">
        <v>275</v>
      </c>
      <c r="K193" s="126">
        <f>+Tabla13[[#This Row],[PF TOTAL]]</f>
        <v>0</v>
      </c>
      <c r="L193" s="126"/>
      <c r="M193" s="126">
        <f>+Tabla134[[#This Row],[PF AJUSTE 1]]+Tabla134[[#This Row],[AJUSTE 2]]</f>
        <v>0</v>
      </c>
    </row>
    <row r="194" spans="2:13" ht="15" customHeight="1" x14ac:dyDescent="0.2">
      <c r="B194" s="16" t="s">
        <v>1002</v>
      </c>
      <c r="C194" s="16" t="s">
        <v>1004</v>
      </c>
      <c r="D194" s="46" t="s">
        <v>1051</v>
      </c>
      <c r="E194" s="16" t="s">
        <v>1015</v>
      </c>
      <c r="F194" s="16" t="s">
        <v>1023</v>
      </c>
      <c r="G194" s="16" t="s">
        <v>1031</v>
      </c>
      <c r="H194" s="21" t="s">
        <v>714</v>
      </c>
      <c r="I194" s="18" t="str">
        <f t="shared" si="63"/>
        <v>100I</v>
      </c>
      <c r="J194" s="22" t="s">
        <v>275</v>
      </c>
      <c r="K194" s="126">
        <f>+Tabla13[[#This Row],[PF TOTAL]]</f>
        <v>0</v>
      </c>
      <c r="L194" s="126"/>
      <c r="M194" s="126">
        <f>+Tabla134[[#This Row],[PF AJUSTE 1]]+Tabla134[[#This Row],[AJUSTE 2]]</f>
        <v>0</v>
      </c>
    </row>
    <row r="195" spans="2:13" ht="15" customHeight="1" x14ac:dyDescent="0.2">
      <c r="B195" s="16" t="s">
        <v>1002</v>
      </c>
      <c r="C195" s="16" t="s">
        <v>1004</v>
      </c>
      <c r="D195" s="46" t="s">
        <v>1051</v>
      </c>
      <c r="E195" s="16" t="s">
        <v>1019</v>
      </c>
      <c r="F195" s="16" t="s">
        <v>1023</v>
      </c>
      <c r="G195" s="16" t="s">
        <v>1031</v>
      </c>
      <c r="H195" s="21" t="s">
        <v>715</v>
      </c>
      <c r="I195" s="18" t="str">
        <f t="shared" si="63"/>
        <v xml:space="preserve"> 125</v>
      </c>
      <c r="J195" s="22" t="s">
        <v>275</v>
      </c>
      <c r="K195" s="126">
        <f>+Tabla13[[#This Row],[PF TOTAL]]</f>
        <v>0</v>
      </c>
      <c r="L195" s="126"/>
      <c r="M195" s="126">
        <f>+Tabla134[[#This Row],[PF AJUSTE 1]]+Tabla134[[#This Row],[AJUSTE 2]]</f>
        <v>0</v>
      </c>
    </row>
    <row r="196" spans="2:13" ht="15" customHeight="1" x14ac:dyDescent="0.2">
      <c r="B196" s="16" t="s">
        <v>1002</v>
      </c>
      <c r="C196" s="16" t="s">
        <v>1004</v>
      </c>
      <c r="D196" s="46" t="s">
        <v>1051</v>
      </c>
      <c r="E196" s="16" t="s">
        <v>1015</v>
      </c>
      <c r="F196" s="16" t="s">
        <v>1023</v>
      </c>
      <c r="G196" s="16" t="s">
        <v>1031</v>
      </c>
      <c r="H196" s="21" t="s">
        <v>716</v>
      </c>
      <c r="I196" s="18" t="str">
        <f t="shared" si="63"/>
        <v>- 13</v>
      </c>
      <c r="J196" s="22" t="s">
        <v>275</v>
      </c>
      <c r="K196" s="126">
        <f>+Tabla13[[#This Row],[PF TOTAL]]</f>
        <v>0</v>
      </c>
      <c r="L196" s="126"/>
      <c r="M196" s="126">
        <f>+Tabla134[[#This Row],[PF AJUSTE 1]]+Tabla134[[#This Row],[AJUSTE 2]]</f>
        <v>0</v>
      </c>
    </row>
    <row r="197" spans="2:13" ht="15" customHeight="1" x14ac:dyDescent="0.2">
      <c r="B197" s="16" t="s">
        <v>1002</v>
      </c>
      <c r="C197" s="16" t="s">
        <v>1004</v>
      </c>
      <c r="D197" s="46" t="s">
        <v>1051</v>
      </c>
      <c r="E197" s="16" t="s">
        <v>1015</v>
      </c>
      <c r="F197" s="16" t="s">
        <v>1023</v>
      </c>
      <c r="G197" s="16" t="s">
        <v>1031</v>
      </c>
      <c r="H197" s="21" t="s">
        <v>717</v>
      </c>
      <c r="I197" s="18" t="str">
        <f t="shared" si="63"/>
        <v>- 17</v>
      </c>
      <c r="J197" s="22" t="s">
        <v>275</v>
      </c>
      <c r="K197" s="126">
        <f>+Tabla13[[#This Row],[PF TOTAL]]</f>
        <v>0</v>
      </c>
      <c r="L197" s="126"/>
      <c r="M197" s="126">
        <f>+Tabla134[[#This Row],[PF AJUSTE 1]]+Tabla134[[#This Row],[AJUSTE 2]]</f>
        <v>0</v>
      </c>
    </row>
    <row r="198" spans="2:13" ht="15" customHeight="1" x14ac:dyDescent="0.2">
      <c r="B198" s="16" t="s">
        <v>1002</v>
      </c>
      <c r="C198" s="16" t="s">
        <v>1004</v>
      </c>
      <c r="D198" s="46" t="s">
        <v>1051</v>
      </c>
      <c r="E198" s="16" t="s">
        <v>1020</v>
      </c>
      <c r="F198" s="16" t="s">
        <v>1023</v>
      </c>
      <c r="G198" s="16" t="s">
        <v>1031</v>
      </c>
      <c r="H198" s="21" t="s">
        <v>718</v>
      </c>
      <c r="I198" s="18" t="str">
        <f t="shared" si="63"/>
        <v xml:space="preserve"> 191</v>
      </c>
      <c r="J198" s="22" t="s">
        <v>275</v>
      </c>
      <c r="K198" s="126">
        <f>+Tabla13[[#This Row],[PF TOTAL]]</f>
        <v>0</v>
      </c>
      <c r="L198" s="126"/>
      <c r="M198" s="126">
        <f>+Tabla134[[#This Row],[PF AJUSTE 1]]+Tabla134[[#This Row],[AJUSTE 2]]</f>
        <v>0</v>
      </c>
    </row>
    <row r="199" spans="2:13" ht="15" customHeight="1" x14ac:dyDescent="0.2">
      <c r="B199" s="16" t="s">
        <v>1002</v>
      </c>
      <c r="C199" s="16" t="s">
        <v>1004</v>
      </c>
      <c r="D199" s="46" t="s">
        <v>1051</v>
      </c>
      <c r="E199" s="16" t="s">
        <v>1020</v>
      </c>
      <c r="F199" s="16" t="s">
        <v>1023</v>
      </c>
      <c r="G199" s="16" t="s">
        <v>1031</v>
      </c>
      <c r="H199" s="21" t="s">
        <v>719</v>
      </c>
      <c r="I199" s="18" t="str">
        <f t="shared" si="63"/>
        <v xml:space="preserve"> 193</v>
      </c>
      <c r="J199" s="22" t="s">
        <v>275</v>
      </c>
      <c r="K199" s="126">
        <f>+Tabla13[[#This Row],[PF TOTAL]]</f>
        <v>0</v>
      </c>
      <c r="L199" s="126"/>
      <c r="M199" s="126">
        <f>+Tabla134[[#This Row],[PF AJUSTE 1]]+Tabla134[[#This Row],[AJUSTE 2]]</f>
        <v>0</v>
      </c>
    </row>
    <row r="200" spans="2:13" ht="15" customHeight="1" x14ac:dyDescent="0.2">
      <c r="B200" s="16" t="s">
        <v>1002</v>
      </c>
      <c r="C200" s="16" t="s">
        <v>1004</v>
      </c>
      <c r="D200" s="46" t="s">
        <v>1051</v>
      </c>
      <c r="E200" s="16" t="s">
        <v>1014</v>
      </c>
      <c r="F200" s="16" t="s">
        <v>1023</v>
      </c>
      <c r="G200" s="16" t="s">
        <v>1031</v>
      </c>
      <c r="H200" s="21" t="s">
        <v>720</v>
      </c>
      <c r="I200" s="18" t="str">
        <f t="shared" si="63"/>
        <v>- 20</v>
      </c>
      <c r="J200" s="22" t="s">
        <v>275</v>
      </c>
      <c r="K200" s="126">
        <f>+Tabla13[[#This Row],[PF TOTAL]]</f>
        <v>0</v>
      </c>
      <c r="L200" s="126"/>
      <c r="M200" s="126">
        <f>+Tabla134[[#This Row],[PF AJUSTE 1]]+Tabla134[[#This Row],[AJUSTE 2]]</f>
        <v>0</v>
      </c>
    </row>
    <row r="201" spans="2:13" ht="15" customHeight="1" x14ac:dyDescent="0.2">
      <c r="B201" s="16" t="s">
        <v>1002</v>
      </c>
      <c r="C201" s="16" t="s">
        <v>1004</v>
      </c>
      <c r="D201" s="46" t="s">
        <v>1051</v>
      </c>
      <c r="E201" s="16" t="s">
        <v>1015</v>
      </c>
      <c r="F201" s="16" t="s">
        <v>1023</v>
      </c>
      <c r="G201" s="16" t="s">
        <v>1031</v>
      </c>
      <c r="H201" s="21" t="s">
        <v>721</v>
      </c>
      <c r="I201" s="18" t="str">
        <f t="shared" si="63"/>
        <v>- 23</v>
      </c>
      <c r="J201" s="22" t="s">
        <v>275</v>
      </c>
      <c r="K201" s="126">
        <f>+Tabla13[[#This Row],[PF TOTAL]]</f>
        <v>0</v>
      </c>
      <c r="L201" s="126"/>
      <c r="M201" s="126">
        <f>+Tabla134[[#This Row],[PF AJUSTE 1]]+Tabla134[[#This Row],[AJUSTE 2]]</f>
        <v>0</v>
      </c>
    </row>
    <row r="202" spans="2:13" s="13" customFormat="1" ht="15.75" customHeight="1" x14ac:dyDescent="0.25">
      <c r="B202" s="24"/>
      <c r="C202" s="24"/>
      <c r="D202" s="24"/>
      <c r="E202" s="24"/>
      <c r="F202" s="24"/>
      <c r="G202" s="24"/>
      <c r="H202" s="17" t="s">
        <v>277</v>
      </c>
      <c r="I202" s="18"/>
      <c r="J202" s="19" t="s">
        <v>278</v>
      </c>
      <c r="K202" s="152">
        <f>+K203</f>
        <v>0</v>
      </c>
      <c r="L202" s="152">
        <f t="shared" ref="L202:M202" si="64">+L203</f>
        <v>0</v>
      </c>
      <c r="M202" s="152">
        <f t="shared" si="64"/>
        <v>0</v>
      </c>
    </row>
    <row r="203" spans="2:13" ht="15" customHeight="1" x14ac:dyDescent="0.2">
      <c r="B203" s="16" t="s">
        <v>1002</v>
      </c>
      <c r="C203" s="16" t="s">
        <v>1004</v>
      </c>
      <c r="D203" s="46" t="s">
        <v>1051</v>
      </c>
      <c r="E203" s="16" t="s">
        <v>1014</v>
      </c>
      <c r="F203" s="16" t="s">
        <v>1023</v>
      </c>
      <c r="G203" s="16" t="s">
        <v>1032</v>
      </c>
      <c r="H203" s="21" t="s">
        <v>279</v>
      </c>
      <c r="I203" s="18" t="str">
        <f t="shared" si="63"/>
        <v>- 20</v>
      </c>
      <c r="J203" s="22" t="s">
        <v>278</v>
      </c>
      <c r="K203" s="126">
        <f>+Tabla13[[#This Row],[PF TOTAL]]</f>
        <v>0</v>
      </c>
      <c r="L203" s="126"/>
      <c r="M203" s="126">
        <f>+Tabla134[[#This Row],[PF AJUSTE 1]]+Tabla134[[#This Row],[AJUSTE 2]]</f>
        <v>0</v>
      </c>
    </row>
    <row r="204" spans="2:13" ht="15.75" customHeight="1" x14ac:dyDescent="0.25">
      <c r="B204" s="16"/>
      <c r="C204" s="16"/>
      <c r="D204" s="16"/>
      <c r="E204" s="16"/>
      <c r="F204" s="16"/>
      <c r="G204" s="16"/>
      <c r="H204" s="25" t="s">
        <v>776</v>
      </c>
      <c r="I204" s="186"/>
      <c r="J204" s="25"/>
      <c r="K204" s="153">
        <f>+K6</f>
        <v>438913691636</v>
      </c>
      <c r="L204" s="153">
        <f>+L6</f>
        <v>0</v>
      </c>
      <c r="M204" s="153">
        <f>+M6</f>
        <v>438913691636</v>
      </c>
    </row>
    <row r="205" spans="2:13" ht="15" customHeight="1" x14ac:dyDescent="0.2">
      <c r="B205" s="16"/>
      <c r="C205" s="16"/>
      <c r="D205" s="16"/>
      <c r="E205" s="16"/>
      <c r="F205" s="16"/>
      <c r="G205" s="16"/>
      <c r="H205" s="21"/>
      <c r="I205" s="18"/>
      <c r="J205" s="22"/>
      <c r="K205" s="154"/>
      <c r="L205" s="154"/>
      <c r="M205" s="154"/>
    </row>
    <row r="206" spans="2:13" ht="15.75" customHeight="1" x14ac:dyDescent="0.2">
      <c r="B206" s="16"/>
      <c r="C206" s="16"/>
      <c r="D206" s="16"/>
      <c r="E206" s="16"/>
      <c r="F206" s="16"/>
      <c r="G206" s="16"/>
      <c r="H206" s="28" t="s">
        <v>777</v>
      </c>
      <c r="I206" s="29"/>
      <c r="J206" s="30"/>
      <c r="K206" s="154"/>
      <c r="L206" s="154"/>
      <c r="M206" s="154"/>
    </row>
    <row r="207" spans="2:13" ht="16.5" customHeight="1" x14ac:dyDescent="0.2">
      <c r="B207" s="16"/>
      <c r="C207" s="16"/>
      <c r="D207" s="16"/>
      <c r="E207" s="16"/>
      <c r="F207" s="16"/>
      <c r="G207" s="16"/>
      <c r="H207" s="31" t="s">
        <v>778</v>
      </c>
      <c r="I207" s="29"/>
      <c r="J207" s="32" t="s">
        <v>779</v>
      </c>
      <c r="K207" s="155"/>
      <c r="L207" s="155"/>
      <c r="M207" s="155"/>
    </row>
    <row r="208" spans="2:13" s="13" customFormat="1" ht="15.75" customHeight="1" x14ac:dyDescent="0.25">
      <c r="B208" s="24"/>
      <c r="C208" s="24"/>
      <c r="D208" s="24"/>
      <c r="E208" s="24"/>
      <c r="F208" s="24"/>
      <c r="G208" s="24"/>
      <c r="H208" s="17" t="s">
        <v>280</v>
      </c>
      <c r="I208" s="18"/>
      <c r="J208" s="19" t="s">
        <v>1</v>
      </c>
      <c r="K208" s="156">
        <f>+K209+K232</f>
        <v>594675672654</v>
      </c>
      <c r="L208" s="156">
        <f t="shared" ref="L208:M208" si="65">+L209+L232</f>
        <v>0</v>
      </c>
      <c r="M208" s="156">
        <f t="shared" si="65"/>
        <v>594675672654</v>
      </c>
    </row>
    <row r="209" spans="2:13" s="13" customFormat="1" ht="15.75" customHeight="1" x14ac:dyDescent="0.25">
      <c r="B209" s="24"/>
      <c r="C209" s="24"/>
      <c r="D209" s="24"/>
      <c r="E209" s="24"/>
      <c r="F209" s="24"/>
      <c r="G209" s="24"/>
      <c r="H209" s="17" t="s">
        <v>281</v>
      </c>
      <c r="I209" s="18"/>
      <c r="J209" s="19" t="s">
        <v>3</v>
      </c>
      <c r="K209" s="156">
        <f>+K210</f>
        <v>594075672654</v>
      </c>
      <c r="L209" s="156">
        <f t="shared" ref="L209:M209" si="66">+L210</f>
        <v>0</v>
      </c>
      <c r="M209" s="156">
        <f t="shared" si="66"/>
        <v>594075672654</v>
      </c>
    </row>
    <row r="210" spans="2:13" s="13" customFormat="1" ht="15.75" customHeight="1" x14ac:dyDescent="0.25">
      <c r="B210" s="24"/>
      <c r="C210" s="24"/>
      <c r="D210" s="24"/>
      <c r="E210" s="24"/>
      <c r="F210" s="24"/>
      <c r="G210" s="24"/>
      <c r="H210" s="17" t="s">
        <v>282</v>
      </c>
      <c r="I210" s="18"/>
      <c r="J210" s="19" t="s">
        <v>86</v>
      </c>
      <c r="K210" s="156">
        <f>+K211+K224</f>
        <v>594075672654</v>
      </c>
      <c r="L210" s="156">
        <f t="shared" ref="L210:M210" si="67">+L211+L224</f>
        <v>0</v>
      </c>
      <c r="M210" s="156">
        <f t="shared" si="67"/>
        <v>594075672654</v>
      </c>
    </row>
    <row r="211" spans="2:13" s="13" customFormat="1" ht="15.75" customHeight="1" x14ac:dyDescent="0.25">
      <c r="B211" s="24"/>
      <c r="C211" s="24"/>
      <c r="D211" s="24"/>
      <c r="E211" s="24"/>
      <c r="F211" s="24"/>
      <c r="G211" s="24"/>
      <c r="H211" s="17" t="s">
        <v>283</v>
      </c>
      <c r="I211" s="18"/>
      <c r="J211" s="19" t="s">
        <v>164</v>
      </c>
      <c r="K211" s="156">
        <f>+K212+K221</f>
        <v>593935923534</v>
      </c>
      <c r="L211" s="156">
        <f t="shared" ref="L211:M211" si="68">+L212+L221</f>
        <v>0</v>
      </c>
      <c r="M211" s="156">
        <f t="shared" si="68"/>
        <v>593935923534</v>
      </c>
    </row>
    <row r="212" spans="2:13" ht="15.75" customHeight="1" x14ac:dyDescent="0.2">
      <c r="B212" s="16"/>
      <c r="C212" s="16"/>
      <c r="D212" s="16"/>
      <c r="E212" s="16"/>
      <c r="F212" s="16"/>
      <c r="G212" s="16"/>
      <c r="H212" s="21" t="s">
        <v>284</v>
      </c>
      <c r="I212" s="18"/>
      <c r="J212" s="22" t="s">
        <v>166</v>
      </c>
      <c r="K212" s="157">
        <f>+K213</f>
        <v>553214942534</v>
      </c>
      <c r="L212" s="157">
        <f t="shared" ref="L212:M212" si="69">+L213</f>
        <v>0</v>
      </c>
      <c r="M212" s="157">
        <f t="shared" si="69"/>
        <v>553214942534</v>
      </c>
    </row>
    <row r="213" spans="2:13" ht="15" customHeight="1" x14ac:dyDescent="0.2">
      <c r="B213" s="16"/>
      <c r="C213" s="16"/>
      <c r="D213" s="16"/>
      <c r="E213" s="16"/>
      <c r="F213" s="16"/>
      <c r="G213" s="16"/>
      <c r="H213" s="21" t="s">
        <v>285</v>
      </c>
      <c r="I213" s="18"/>
      <c r="J213" s="22" t="s">
        <v>286</v>
      </c>
      <c r="K213" s="157">
        <f>+K214+K219</f>
        <v>553214942534</v>
      </c>
      <c r="L213" s="157">
        <f t="shared" ref="L213:M213" si="70">+L214+L219</f>
        <v>0</v>
      </c>
      <c r="M213" s="157">
        <f t="shared" si="70"/>
        <v>553214942534</v>
      </c>
    </row>
    <row r="214" spans="2:13" ht="15" customHeight="1" x14ac:dyDescent="0.2">
      <c r="B214" s="16"/>
      <c r="C214" s="16"/>
      <c r="D214" s="16"/>
      <c r="E214" s="16"/>
      <c r="F214" s="16"/>
      <c r="G214" s="16"/>
      <c r="H214" s="21" t="s">
        <v>287</v>
      </c>
      <c r="I214" s="18"/>
      <c r="J214" s="22" t="s">
        <v>288</v>
      </c>
      <c r="K214" s="157">
        <f>+K215+K216+K217+K218</f>
        <v>549077509198</v>
      </c>
      <c r="L214" s="157">
        <f t="shared" ref="L214:M214" si="71">+L215+L216+L217+L218</f>
        <v>0</v>
      </c>
      <c r="M214" s="157">
        <f t="shared" si="71"/>
        <v>549077509198</v>
      </c>
    </row>
    <row r="215" spans="2:13" ht="15" customHeight="1" x14ac:dyDescent="0.2">
      <c r="B215" s="16" t="s">
        <v>1002</v>
      </c>
      <c r="C215" s="16" t="s">
        <v>1005</v>
      </c>
      <c r="D215" s="46" t="s">
        <v>1051</v>
      </c>
      <c r="E215" s="16" t="s">
        <v>1017</v>
      </c>
      <c r="F215" s="16" t="s">
        <v>1022</v>
      </c>
      <c r="G215" s="16" t="s">
        <v>1025</v>
      </c>
      <c r="H215" s="21" t="s">
        <v>290</v>
      </c>
      <c r="I215" s="18" t="str">
        <f t="shared" ref="I215:I220" si="72">RIGHT(H215,4)</f>
        <v>- 25</v>
      </c>
      <c r="J215" s="22" t="s">
        <v>288</v>
      </c>
      <c r="K215" s="126">
        <f>+Tabla13[[#This Row],[PF TOTAL]]</f>
        <v>461902246342</v>
      </c>
      <c r="L215" s="23"/>
      <c r="M215" s="126">
        <f>+Tabla134[[#This Row],[PF AJUSTE 1]]+Tabla134[[#This Row],[AJUSTE 2]]</f>
        <v>461902246342</v>
      </c>
    </row>
    <row r="216" spans="2:13" ht="15" customHeight="1" x14ac:dyDescent="0.2">
      <c r="B216" s="16" t="s">
        <v>1002</v>
      </c>
      <c r="C216" s="16" t="s">
        <v>1005</v>
      </c>
      <c r="D216" s="46" t="s">
        <v>1051</v>
      </c>
      <c r="E216" s="16" t="s">
        <v>1017</v>
      </c>
      <c r="F216" s="16" t="s">
        <v>1022</v>
      </c>
      <c r="G216" s="16" t="s">
        <v>1025</v>
      </c>
      <c r="H216" s="21" t="s">
        <v>291</v>
      </c>
      <c r="I216" s="18" t="str">
        <f t="shared" si="72"/>
        <v>- 26</v>
      </c>
      <c r="J216" s="22" t="s">
        <v>292</v>
      </c>
      <c r="K216" s="126">
        <f>+Tabla13[[#This Row],[PF TOTAL]]</f>
        <v>59075029448</v>
      </c>
      <c r="L216" s="23"/>
      <c r="M216" s="126">
        <f>+Tabla134[[#This Row],[PF AJUSTE 1]]+Tabla134[[#This Row],[AJUSTE 2]]</f>
        <v>59075029448</v>
      </c>
    </row>
    <row r="217" spans="2:13" ht="15" customHeight="1" x14ac:dyDescent="0.2">
      <c r="B217" s="16" t="s">
        <v>1002</v>
      </c>
      <c r="C217" s="16" t="s">
        <v>1005</v>
      </c>
      <c r="D217" s="46" t="s">
        <v>1051</v>
      </c>
      <c r="E217" s="16" t="s">
        <v>1017</v>
      </c>
      <c r="F217" s="16" t="s">
        <v>1022</v>
      </c>
      <c r="G217" s="16" t="s">
        <v>1025</v>
      </c>
      <c r="H217" s="21" t="s">
        <v>293</v>
      </c>
      <c r="I217" s="18" t="str">
        <f t="shared" si="72"/>
        <v>- 26</v>
      </c>
      <c r="J217" s="22" t="s">
        <v>294</v>
      </c>
      <c r="K217" s="126">
        <f>+Tabla13[[#This Row],[PF TOTAL]]</f>
        <v>26738875746</v>
      </c>
      <c r="L217" s="23"/>
      <c r="M217" s="126">
        <f>+Tabla134[[#This Row],[PF AJUSTE 1]]+Tabla134[[#This Row],[AJUSTE 2]]</f>
        <v>26738875746</v>
      </c>
    </row>
    <row r="218" spans="2:13" ht="15" customHeight="1" x14ac:dyDescent="0.2">
      <c r="B218" s="16" t="s">
        <v>1002</v>
      </c>
      <c r="C218" s="16" t="s">
        <v>1005</v>
      </c>
      <c r="D218" s="46" t="s">
        <v>1051</v>
      </c>
      <c r="E218" s="16" t="s">
        <v>1017</v>
      </c>
      <c r="F218" s="16" t="s">
        <v>1022</v>
      </c>
      <c r="G218" s="16" t="s">
        <v>1025</v>
      </c>
      <c r="H218" s="21" t="s">
        <v>295</v>
      </c>
      <c r="I218" s="18" t="str">
        <f t="shared" si="72"/>
        <v>- 25</v>
      </c>
      <c r="J218" s="22" t="s">
        <v>296</v>
      </c>
      <c r="K218" s="126">
        <f>+Tabla13[[#This Row],[PF TOTAL]]</f>
        <v>1361357662</v>
      </c>
      <c r="L218" s="23"/>
      <c r="M218" s="126">
        <f>+Tabla134[[#This Row],[PF AJUSTE 1]]+Tabla134[[#This Row],[AJUSTE 2]]</f>
        <v>1361357662</v>
      </c>
    </row>
    <row r="219" spans="2:13" ht="15" customHeight="1" x14ac:dyDescent="0.2">
      <c r="B219" s="16"/>
      <c r="C219" s="16"/>
      <c r="D219" s="16"/>
      <c r="E219" s="16"/>
      <c r="F219" s="16"/>
      <c r="G219" s="16"/>
      <c r="H219" s="21" t="s">
        <v>297</v>
      </c>
      <c r="I219" s="18"/>
      <c r="J219" s="22" t="s">
        <v>298</v>
      </c>
      <c r="K219" s="157">
        <f>+K220</f>
        <v>4137433336</v>
      </c>
      <c r="L219" s="157">
        <f t="shared" ref="L219:M219" si="73">+L220</f>
        <v>0</v>
      </c>
      <c r="M219" s="157">
        <f t="shared" si="73"/>
        <v>4137433336</v>
      </c>
    </row>
    <row r="220" spans="2:13" ht="15" customHeight="1" x14ac:dyDescent="0.2">
      <c r="B220" s="16" t="s">
        <v>1002</v>
      </c>
      <c r="C220" s="16" t="s">
        <v>1005</v>
      </c>
      <c r="D220" s="46" t="s">
        <v>1051</v>
      </c>
      <c r="E220" s="16" t="s">
        <v>1017</v>
      </c>
      <c r="F220" s="16" t="s">
        <v>1022</v>
      </c>
      <c r="G220" s="16" t="s">
        <v>1025</v>
      </c>
      <c r="H220" s="21" t="s">
        <v>299</v>
      </c>
      <c r="I220" s="18" t="str">
        <f t="shared" si="72"/>
        <v>- 27</v>
      </c>
      <c r="J220" s="22" t="s">
        <v>298</v>
      </c>
      <c r="K220" s="126">
        <f>+Tabla13[[#This Row],[PF TOTAL]]</f>
        <v>4137433336</v>
      </c>
      <c r="L220" s="23"/>
      <c r="M220" s="126">
        <f>+Tabla134[[#This Row],[PF AJUSTE 1]]+Tabla134[[#This Row],[AJUSTE 2]]</f>
        <v>4137433336</v>
      </c>
    </row>
    <row r="221" spans="2:13" ht="15" customHeight="1" x14ac:dyDescent="0.2">
      <c r="B221" s="16"/>
      <c r="C221" s="16"/>
      <c r="D221" s="16"/>
      <c r="E221" s="16"/>
      <c r="F221" s="16"/>
      <c r="G221" s="16"/>
      <c r="H221" s="21" t="s">
        <v>300</v>
      </c>
      <c r="I221" s="18"/>
      <c r="J221" s="22" t="s">
        <v>301</v>
      </c>
      <c r="K221" s="157">
        <f>+K222</f>
        <v>40720981000</v>
      </c>
      <c r="L221" s="157">
        <f t="shared" ref="L221:M222" si="74">+L222</f>
        <v>0</v>
      </c>
      <c r="M221" s="157">
        <f t="shared" si="74"/>
        <v>40720981000</v>
      </c>
    </row>
    <row r="222" spans="2:13" ht="30" customHeight="1" x14ac:dyDescent="0.2">
      <c r="B222" s="16"/>
      <c r="C222" s="16"/>
      <c r="D222" s="16"/>
      <c r="E222" s="16"/>
      <c r="F222" s="16"/>
      <c r="G222" s="16"/>
      <c r="H222" s="21" t="s">
        <v>302</v>
      </c>
      <c r="I222" s="18"/>
      <c r="J222" s="22" t="s">
        <v>303</v>
      </c>
      <c r="K222" s="157">
        <f>+K223</f>
        <v>40720981000</v>
      </c>
      <c r="L222" s="157">
        <f t="shared" si="74"/>
        <v>0</v>
      </c>
      <c r="M222" s="157">
        <f t="shared" si="74"/>
        <v>40720981000</v>
      </c>
    </row>
    <row r="223" spans="2:13" ht="30" customHeight="1" x14ac:dyDescent="0.2">
      <c r="B223" s="16" t="s">
        <v>1002</v>
      </c>
      <c r="C223" s="16" t="s">
        <v>1005</v>
      </c>
      <c r="D223" s="46" t="s">
        <v>1051</v>
      </c>
      <c r="E223" s="16" t="s">
        <v>1018</v>
      </c>
      <c r="F223" s="16" t="s">
        <v>1022</v>
      </c>
      <c r="G223" s="16" t="s">
        <v>1025</v>
      </c>
      <c r="H223" s="21" t="s">
        <v>304</v>
      </c>
      <c r="I223" s="18" t="str">
        <f>RIGHT(H223,4)</f>
        <v>- 96</v>
      </c>
      <c r="J223" s="22" t="s">
        <v>303</v>
      </c>
      <c r="K223" s="126">
        <f>+Tabla13[[#This Row],[PF TOTAL]]</f>
        <v>40720981000</v>
      </c>
      <c r="L223" s="23"/>
      <c r="M223" s="126">
        <f>+Tabla134[[#This Row],[PF AJUSTE 1]]+Tabla134[[#This Row],[AJUSTE 2]]</f>
        <v>40720981000</v>
      </c>
    </row>
    <row r="224" spans="2:13" s="13" customFormat="1" ht="15.75" customHeight="1" x14ac:dyDescent="0.25">
      <c r="B224" s="24"/>
      <c r="C224" s="24"/>
      <c r="D224" s="24"/>
      <c r="E224" s="24"/>
      <c r="F224" s="24"/>
      <c r="G224" s="24"/>
      <c r="H224" s="17" t="s">
        <v>305</v>
      </c>
      <c r="I224" s="18"/>
      <c r="J224" s="19" t="s">
        <v>195</v>
      </c>
      <c r="K224" s="156">
        <f>+K225</f>
        <v>139749120</v>
      </c>
      <c r="L224" s="156">
        <f t="shared" ref="L224:M226" si="75">+L225</f>
        <v>0</v>
      </c>
      <c r="M224" s="156">
        <f t="shared" si="75"/>
        <v>139749120</v>
      </c>
    </row>
    <row r="225" spans="2:13" ht="30" customHeight="1" x14ac:dyDescent="0.2">
      <c r="B225" s="16"/>
      <c r="C225" s="16"/>
      <c r="D225" s="16"/>
      <c r="E225" s="16"/>
      <c r="F225" s="16"/>
      <c r="G225" s="16"/>
      <c r="H225" s="21" t="s">
        <v>306</v>
      </c>
      <c r="I225" s="18"/>
      <c r="J225" s="22" t="s">
        <v>197</v>
      </c>
      <c r="K225" s="157">
        <f>+K226</f>
        <v>139749120</v>
      </c>
      <c r="L225" s="157">
        <f t="shared" si="75"/>
        <v>0</v>
      </c>
      <c r="M225" s="157">
        <f t="shared" si="75"/>
        <v>139749120</v>
      </c>
    </row>
    <row r="226" spans="2:13" ht="30" customHeight="1" x14ac:dyDescent="0.2">
      <c r="B226" s="16"/>
      <c r="C226" s="16"/>
      <c r="D226" s="16"/>
      <c r="E226" s="16"/>
      <c r="F226" s="16"/>
      <c r="G226" s="16"/>
      <c r="H226" s="21" t="s">
        <v>307</v>
      </c>
      <c r="I226" s="18"/>
      <c r="J226" s="22" t="s">
        <v>199</v>
      </c>
      <c r="K226" s="157">
        <f>+K227</f>
        <v>139749120</v>
      </c>
      <c r="L226" s="157">
        <f t="shared" si="75"/>
        <v>0</v>
      </c>
      <c r="M226" s="157">
        <f t="shared" si="75"/>
        <v>139749120</v>
      </c>
    </row>
    <row r="227" spans="2:13" ht="15" customHeight="1" x14ac:dyDescent="0.2">
      <c r="B227" s="16"/>
      <c r="C227" s="16"/>
      <c r="D227" s="16"/>
      <c r="E227" s="16"/>
      <c r="F227" s="16"/>
      <c r="G227" s="16"/>
      <c r="H227" s="21" t="s">
        <v>308</v>
      </c>
      <c r="I227" s="18"/>
      <c r="J227" s="22" t="s">
        <v>201</v>
      </c>
      <c r="K227" s="157">
        <f>+K228+K230</f>
        <v>139749120</v>
      </c>
      <c r="L227" s="157">
        <f t="shared" ref="L227:M227" si="76">+L228+L230</f>
        <v>0</v>
      </c>
      <c r="M227" s="157">
        <f t="shared" si="76"/>
        <v>139749120</v>
      </c>
    </row>
    <row r="228" spans="2:13" ht="30" customHeight="1" x14ac:dyDescent="0.2">
      <c r="B228" s="16"/>
      <c r="C228" s="16"/>
      <c r="D228" s="16"/>
      <c r="E228" s="16"/>
      <c r="F228" s="16"/>
      <c r="G228" s="16"/>
      <c r="H228" s="21" t="s">
        <v>309</v>
      </c>
      <c r="I228" s="18"/>
      <c r="J228" s="22" t="s">
        <v>203</v>
      </c>
      <c r="K228" s="157">
        <f>+K229</f>
        <v>0</v>
      </c>
      <c r="L228" s="157">
        <f t="shared" ref="L228:M228" si="77">+L229</f>
        <v>0</v>
      </c>
      <c r="M228" s="157">
        <f t="shared" si="77"/>
        <v>0</v>
      </c>
    </row>
    <row r="229" spans="2:13" ht="30" customHeight="1" x14ac:dyDescent="0.2">
      <c r="B229" s="16" t="s">
        <v>1002</v>
      </c>
      <c r="C229" s="16" t="s">
        <v>1005</v>
      </c>
      <c r="D229" s="46" t="s">
        <v>1051</v>
      </c>
      <c r="E229" s="16" t="s">
        <v>1015</v>
      </c>
      <c r="F229" s="16" t="s">
        <v>1022</v>
      </c>
      <c r="G229" s="16" t="s">
        <v>1025</v>
      </c>
      <c r="H229" s="21" t="s">
        <v>310</v>
      </c>
      <c r="I229" s="18" t="str">
        <f>RIGHT(H229,4)</f>
        <v xml:space="preserve"> 153</v>
      </c>
      <c r="J229" s="22" t="s">
        <v>203</v>
      </c>
      <c r="K229" s="126">
        <f>+Tabla13[[#This Row],[PF TOTAL]]</f>
        <v>0</v>
      </c>
      <c r="L229" s="23"/>
      <c r="M229" s="126">
        <f>+Tabla134[[#This Row],[PF AJUSTE 1]]+Tabla134[[#This Row],[AJUSTE 2]]</f>
        <v>0</v>
      </c>
    </row>
    <row r="230" spans="2:13" ht="30" customHeight="1" x14ac:dyDescent="0.2">
      <c r="B230" s="16"/>
      <c r="C230" s="16"/>
      <c r="D230" s="16"/>
      <c r="E230" s="16"/>
      <c r="F230" s="16"/>
      <c r="G230" s="16"/>
      <c r="H230" s="21" t="s">
        <v>311</v>
      </c>
      <c r="I230" s="18"/>
      <c r="J230" s="22" t="s">
        <v>207</v>
      </c>
      <c r="K230" s="157">
        <f>+K231</f>
        <v>139749120</v>
      </c>
      <c r="L230" s="157">
        <f t="shared" ref="L230:M230" si="78">+L231</f>
        <v>0</v>
      </c>
      <c r="M230" s="157">
        <f t="shared" si="78"/>
        <v>139749120</v>
      </c>
    </row>
    <row r="231" spans="2:13" ht="30" customHeight="1" x14ac:dyDescent="0.2">
      <c r="B231" s="16" t="s">
        <v>1002</v>
      </c>
      <c r="C231" s="16" t="s">
        <v>1005</v>
      </c>
      <c r="D231" s="46" t="s">
        <v>1051</v>
      </c>
      <c r="E231" s="16" t="s">
        <v>1015</v>
      </c>
      <c r="F231" s="16" t="s">
        <v>1022</v>
      </c>
      <c r="G231" s="16" t="s">
        <v>1025</v>
      </c>
      <c r="H231" s="21" t="s">
        <v>312</v>
      </c>
      <c r="I231" s="18" t="str">
        <f>RIGHT(H231,4)</f>
        <v xml:space="preserve"> 153</v>
      </c>
      <c r="J231" s="22" t="s">
        <v>207</v>
      </c>
      <c r="K231" s="126">
        <f>+Tabla13[[#This Row],[PF TOTAL]]</f>
        <v>139749120</v>
      </c>
      <c r="L231" s="23"/>
      <c r="M231" s="126">
        <f>+Tabla134[[#This Row],[PF AJUSTE 1]]+Tabla134[[#This Row],[AJUSTE 2]]</f>
        <v>139749120</v>
      </c>
    </row>
    <row r="232" spans="2:13" s="13" customFormat="1" ht="15.75" customHeight="1" x14ac:dyDescent="0.25">
      <c r="B232" s="24"/>
      <c r="C232" s="24"/>
      <c r="D232" s="24"/>
      <c r="E232" s="24"/>
      <c r="F232" s="24"/>
      <c r="G232" s="24"/>
      <c r="H232" s="17" t="s">
        <v>313</v>
      </c>
      <c r="I232" s="18"/>
      <c r="J232" s="19" t="s">
        <v>225</v>
      </c>
      <c r="K232" s="156">
        <f>+K233+K240+K249</f>
        <v>600000000</v>
      </c>
      <c r="L232" s="156">
        <f t="shared" ref="L232:M232" si="79">+L233+L240+L249</f>
        <v>0</v>
      </c>
      <c r="M232" s="156">
        <f t="shared" si="79"/>
        <v>600000000</v>
      </c>
    </row>
    <row r="233" spans="2:13" s="13" customFormat="1" ht="15.75" customHeight="1" x14ac:dyDescent="0.25">
      <c r="B233" s="24"/>
      <c r="C233" s="24"/>
      <c r="D233" s="24"/>
      <c r="E233" s="24"/>
      <c r="F233" s="24"/>
      <c r="G233" s="24"/>
      <c r="H233" s="17" t="s">
        <v>314</v>
      </c>
      <c r="I233" s="18"/>
      <c r="J233" s="19" t="s">
        <v>239</v>
      </c>
      <c r="K233" s="156">
        <f>+K234</f>
        <v>600000000</v>
      </c>
      <c r="L233" s="156">
        <f t="shared" ref="L233:M233" si="80">+L234</f>
        <v>0</v>
      </c>
      <c r="M233" s="156">
        <f t="shared" si="80"/>
        <v>600000000</v>
      </c>
    </row>
    <row r="234" spans="2:13" s="13" customFormat="1" ht="15.75" customHeight="1" x14ac:dyDescent="0.25">
      <c r="B234" s="24"/>
      <c r="C234" s="24"/>
      <c r="D234" s="24"/>
      <c r="E234" s="24"/>
      <c r="F234" s="24"/>
      <c r="G234" s="24"/>
      <c r="H234" s="17" t="s">
        <v>315</v>
      </c>
      <c r="I234" s="18"/>
      <c r="J234" s="19" t="s">
        <v>241</v>
      </c>
      <c r="K234" s="156">
        <f>SUM(K235:K239)</f>
        <v>600000000</v>
      </c>
      <c r="L234" s="156">
        <f t="shared" ref="L234:M234" si="81">SUM(L235:L239)</f>
        <v>0</v>
      </c>
      <c r="M234" s="156">
        <f t="shared" si="81"/>
        <v>600000000</v>
      </c>
    </row>
    <row r="235" spans="2:13" ht="15" customHeight="1" x14ac:dyDescent="0.2">
      <c r="B235" s="16" t="s">
        <v>1002</v>
      </c>
      <c r="C235" s="16" t="s">
        <v>1005</v>
      </c>
      <c r="D235" s="46" t="s">
        <v>1051</v>
      </c>
      <c r="E235" s="16" t="s">
        <v>1015</v>
      </c>
      <c r="F235" s="16" t="s">
        <v>1023</v>
      </c>
      <c r="G235" s="16" t="s">
        <v>1028</v>
      </c>
      <c r="H235" s="21" t="s">
        <v>316</v>
      </c>
      <c r="I235" s="18" t="str">
        <f>RIGHT(H235,4)</f>
        <v>153F</v>
      </c>
      <c r="J235" s="22" t="s">
        <v>241</v>
      </c>
      <c r="K235" s="126">
        <f>+Tabla13[[#This Row],[PF TOTAL]]</f>
        <v>0</v>
      </c>
      <c r="L235" s="23"/>
      <c r="M235" s="126">
        <f>+Tabla134[[#This Row],[PF AJUSTE 1]]+Tabla134[[#This Row],[AJUSTE 2]]</f>
        <v>0</v>
      </c>
    </row>
    <row r="236" spans="2:13" ht="15" customHeight="1" x14ac:dyDescent="0.2">
      <c r="B236" s="16" t="s">
        <v>1002</v>
      </c>
      <c r="C236" s="16" t="s">
        <v>1005</v>
      </c>
      <c r="D236" s="46" t="s">
        <v>1051</v>
      </c>
      <c r="E236" s="16" t="s">
        <v>1017</v>
      </c>
      <c r="F236" s="16" t="s">
        <v>1023</v>
      </c>
      <c r="G236" s="16" t="s">
        <v>1028</v>
      </c>
      <c r="H236" s="21" t="s">
        <v>317</v>
      </c>
      <c r="I236" s="18" t="str">
        <f>RIGHT(H236,4)</f>
        <v xml:space="preserve"> 25F</v>
      </c>
      <c r="J236" s="22" t="s">
        <v>241</v>
      </c>
      <c r="K236" s="126">
        <f>+Tabla13[[#This Row],[PF TOTAL]]</f>
        <v>600000000</v>
      </c>
      <c r="L236" s="23"/>
      <c r="M236" s="126">
        <f>+Tabla134[[#This Row],[PF AJUSTE 1]]+Tabla134[[#This Row],[AJUSTE 2]]</f>
        <v>600000000</v>
      </c>
    </row>
    <row r="237" spans="2:13" ht="15" customHeight="1" x14ac:dyDescent="0.2">
      <c r="B237" s="16" t="s">
        <v>1002</v>
      </c>
      <c r="C237" s="16" t="s">
        <v>1005</v>
      </c>
      <c r="D237" s="46" t="s">
        <v>1051</v>
      </c>
      <c r="E237" s="16" t="s">
        <v>1017</v>
      </c>
      <c r="F237" s="16" t="s">
        <v>1023</v>
      </c>
      <c r="G237" s="16" t="s">
        <v>1028</v>
      </c>
      <c r="H237" s="21" t="s">
        <v>318</v>
      </c>
      <c r="I237" s="18" t="str">
        <f>RIGHT(H237,4)</f>
        <v xml:space="preserve"> 27F</v>
      </c>
      <c r="J237" s="22" t="s">
        <v>241</v>
      </c>
      <c r="K237" s="126">
        <f>+Tabla13[[#This Row],[PF TOTAL]]</f>
        <v>0</v>
      </c>
      <c r="L237" s="23"/>
      <c r="M237" s="126">
        <f>+Tabla134[[#This Row],[PF AJUSTE 1]]+Tabla134[[#This Row],[AJUSTE 2]]</f>
        <v>0</v>
      </c>
    </row>
    <row r="238" spans="2:13" ht="15" customHeight="1" x14ac:dyDescent="0.2">
      <c r="B238" s="16" t="s">
        <v>1002</v>
      </c>
      <c r="C238" s="16" t="s">
        <v>1005</v>
      </c>
      <c r="D238" s="46" t="s">
        <v>1051</v>
      </c>
      <c r="E238" s="16" t="s">
        <v>1015</v>
      </c>
      <c r="F238" s="16" t="s">
        <v>1023</v>
      </c>
      <c r="G238" s="16" t="s">
        <v>1028</v>
      </c>
      <c r="H238" s="21" t="s">
        <v>319</v>
      </c>
      <c r="I238" s="18" t="str">
        <f>RIGHT(H238,4)</f>
        <v xml:space="preserve"> 96F</v>
      </c>
      <c r="J238" s="22" t="s">
        <v>241</v>
      </c>
      <c r="K238" s="126">
        <f>+Tabla13[[#This Row],[PF TOTAL]]</f>
        <v>0</v>
      </c>
      <c r="L238" s="23"/>
      <c r="M238" s="126">
        <f>+Tabla134[[#This Row],[PF AJUSTE 1]]+Tabla134[[#This Row],[AJUSTE 2]]</f>
        <v>0</v>
      </c>
    </row>
    <row r="239" spans="2:13" ht="15" customHeight="1" x14ac:dyDescent="0.2">
      <c r="B239" s="16" t="s">
        <v>1002</v>
      </c>
      <c r="C239" s="16" t="s">
        <v>1005</v>
      </c>
      <c r="D239" s="46" t="s">
        <v>1051</v>
      </c>
      <c r="E239" s="16" t="s">
        <v>1015</v>
      </c>
      <c r="F239" s="16" t="s">
        <v>1023</v>
      </c>
      <c r="G239" s="16" t="s">
        <v>1028</v>
      </c>
      <c r="H239" s="21" t="s">
        <v>320</v>
      </c>
      <c r="I239" s="18" t="str">
        <f>RIGHT(H239,4)</f>
        <v xml:space="preserve"> 98F</v>
      </c>
      <c r="J239" s="22" t="s">
        <v>241</v>
      </c>
      <c r="K239" s="126">
        <f>+Tabla13[[#This Row],[PF TOTAL]]</f>
        <v>0</v>
      </c>
      <c r="L239" s="23"/>
      <c r="M239" s="126">
        <f>+Tabla134[[#This Row],[PF AJUSTE 1]]+Tabla134[[#This Row],[AJUSTE 2]]</f>
        <v>0</v>
      </c>
    </row>
    <row r="240" spans="2:13" s="13" customFormat="1" ht="15.75" customHeight="1" x14ac:dyDescent="0.25">
      <c r="B240" s="24"/>
      <c r="C240" s="24"/>
      <c r="D240" s="24"/>
      <c r="E240" s="24"/>
      <c r="F240" s="24"/>
      <c r="G240" s="24"/>
      <c r="H240" s="17" t="s">
        <v>321</v>
      </c>
      <c r="I240" s="18"/>
      <c r="J240" s="19" t="s">
        <v>267</v>
      </c>
      <c r="K240" s="156">
        <f>+K241</f>
        <v>0</v>
      </c>
      <c r="L240" s="156">
        <f t="shared" ref="L240:M240" si="82">+L241</f>
        <v>0</v>
      </c>
      <c r="M240" s="156">
        <f t="shared" si="82"/>
        <v>0</v>
      </c>
    </row>
    <row r="241" spans="2:13" s="13" customFormat="1" ht="15.75" customHeight="1" x14ac:dyDescent="0.25">
      <c r="B241" s="24"/>
      <c r="C241" s="24"/>
      <c r="D241" s="24"/>
      <c r="E241" s="24"/>
      <c r="F241" s="24"/>
      <c r="G241" s="24"/>
      <c r="H241" s="17" t="s">
        <v>322</v>
      </c>
      <c r="I241" s="18"/>
      <c r="J241" s="19" t="s">
        <v>271</v>
      </c>
      <c r="K241" s="156">
        <f>SUM(K242:K248)</f>
        <v>0</v>
      </c>
      <c r="L241" s="156">
        <f t="shared" ref="L241:M241" si="83">SUM(L242:L248)</f>
        <v>0</v>
      </c>
      <c r="M241" s="156">
        <f t="shared" si="83"/>
        <v>0</v>
      </c>
    </row>
    <row r="242" spans="2:13" ht="15" customHeight="1" x14ac:dyDescent="0.2">
      <c r="B242" s="16" t="s">
        <v>1002</v>
      </c>
      <c r="C242" s="16" t="s">
        <v>1005</v>
      </c>
      <c r="D242" s="46" t="s">
        <v>1051</v>
      </c>
      <c r="E242" s="16" t="s">
        <v>1018</v>
      </c>
      <c r="F242" s="16" t="s">
        <v>1023</v>
      </c>
      <c r="G242" s="16" t="s">
        <v>1030</v>
      </c>
      <c r="H242" s="21" t="s">
        <v>722</v>
      </c>
      <c r="I242" s="18" t="str">
        <f t="shared" ref="I242:I248" si="84">RIGHT(H242,4)</f>
        <v>0ERB</v>
      </c>
      <c r="J242" s="22" t="s">
        <v>271</v>
      </c>
      <c r="K242" s="126">
        <f>+Tabla13[[#This Row],[PF TOTAL]]</f>
        <v>0</v>
      </c>
      <c r="L242" s="23"/>
      <c r="M242" s="126">
        <f>+Tabla134[[#This Row],[PF AJUSTE 1]]+Tabla134[[#This Row],[AJUSTE 2]]</f>
        <v>0</v>
      </c>
    </row>
    <row r="243" spans="2:13" ht="15" customHeight="1" x14ac:dyDescent="0.2">
      <c r="B243" s="16" t="s">
        <v>1002</v>
      </c>
      <c r="C243" s="16" t="s">
        <v>1005</v>
      </c>
      <c r="D243" s="46" t="s">
        <v>1051</v>
      </c>
      <c r="E243" s="16" t="s">
        <v>1015</v>
      </c>
      <c r="F243" s="16" t="s">
        <v>1023</v>
      </c>
      <c r="G243" s="16" t="s">
        <v>1030</v>
      </c>
      <c r="H243" s="21" t="s">
        <v>723</v>
      </c>
      <c r="I243" s="18" t="str">
        <f t="shared" si="84"/>
        <v>153R</v>
      </c>
      <c r="J243" s="22" t="s">
        <v>271</v>
      </c>
      <c r="K243" s="126">
        <f>+Tabla13[[#This Row],[PF TOTAL]]</f>
        <v>0</v>
      </c>
      <c r="L243" s="23"/>
      <c r="M243" s="126">
        <f>+Tabla134[[#This Row],[PF AJUSTE 1]]+Tabla134[[#This Row],[AJUSTE 2]]</f>
        <v>0</v>
      </c>
    </row>
    <row r="244" spans="2:13" ht="15" customHeight="1" x14ac:dyDescent="0.2">
      <c r="B244" s="16" t="s">
        <v>1002</v>
      </c>
      <c r="C244" s="16" t="s">
        <v>1005</v>
      </c>
      <c r="D244" s="46" t="s">
        <v>1051</v>
      </c>
      <c r="E244" s="16" t="s">
        <v>1017</v>
      </c>
      <c r="F244" s="16" t="s">
        <v>1023</v>
      </c>
      <c r="G244" s="16" t="s">
        <v>1030</v>
      </c>
      <c r="H244" s="21" t="s">
        <v>724</v>
      </c>
      <c r="I244" s="18" t="str">
        <f t="shared" si="84"/>
        <v>25FR</v>
      </c>
      <c r="J244" s="22" t="s">
        <v>271</v>
      </c>
      <c r="K244" s="126">
        <f>+Tabla13[[#This Row],[PF TOTAL]]</f>
        <v>0</v>
      </c>
      <c r="L244" s="23"/>
      <c r="M244" s="126">
        <f>+Tabla134[[#This Row],[PF AJUSTE 1]]+Tabla134[[#This Row],[AJUSTE 2]]</f>
        <v>0</v>
      </c>
    </row>
    <row r="245" spans="2:13" ht="15" customHeight="1" x14ac:dyDescent="0.2">
      <c r="B245" s="16" t="s">
        <v>1002</v>
      </c>
      <c r="C245" s="16" t="s">
        <v>1005</v>
      </c>
      <c r="D245" s="46" t="s">
        <v>1051</v>
      </c>
      <c r="E245" s="16" t="s">
        <v>1017</v>
      </c>
      <c r="F245" s="16" t="s">
        <v>1023</v>
      </c>
      <c r="G245" s="16" t="s">
        <v>1030</v>
      </c>
      <c r="H245" s="21" t="s">
        <v>725</v>
      </c>
      <c r="I245" s="18" t="str">
        <f t="shared" si="84"/>
        <v>25RB</v>
      </c>
      <c r="J245" s="22" t="s">
        <v>271</v>
      </c>
      <c r="K245" s="126">
        <f>+Tabla13[[#This Row],[PF TOTAL]]</f>
        <v>0</v>
      </c>
      <c r="L245" s="23"/>
      <c r="M245" s="126">
        <f>+Tabla134[[#This Row],[PF AJUSTE 1]]+Tabla134[[#This Row],[AJUSTE 2]]</f>
        <v>0</v>
      </c>
    </row>
    <row r="246" spans="2:13" ht="15" customHeight="1" x14ac:dyDescent="0.2">
      <c r="B246" s="16" t="s">
        <v>1002</v>
      </c>
      <c r="C246" s="16" t="s">
        <v>1005</v>
      </c>
      <c r="D246" s="46" t="s">
        <v>1051</v>
      </c>
      <c r="E246" s="16" t="s">
        <v>1017</v>
      </c>
      <c r="F246" s="16" t="s">
        <v>1023</v>
      </c>
      <c r="G246" s="16" t="s">
        <v>1030</v>
      </c>
      <c r="H246" s="21" t="s">
        <v>726</v>
      </c>
      <c r="I246" s="18" t="str">
        <f t="shared" si="84"/>
        <v>27RB</v>
      </c>
      <c r="J246" s="22" t="s">
        <v>271</v>
      </c>
      <c r="K246" s="126">
        <f>+Tabla13[[#This Row],[PF TOTAL]]</f>
        <v>0</v>
      </c>
      <c r="L246" s="23"/>
      <c r="M246" s="126">
        <f>+Tabla134[[#This Row],[PF AJUSTE 1]]+Tabla134[[#This Row],[AJUSTE 2]]</f>
        <v>0</v>
      </c>
    </row>
    <row r="247" spans="2:13" ht="15" customHeight="1" x14ac:dyDescent="0.2">
      <c r="B247" s="16" t="s">
        <v>1002</v>
      </c>
      <c r="C247" s="16" t="s">
        <v>1005</v>
      </c>
      <c r="D247" s="46" t="s">
        <v>1051</v>
      </c>
      <c r="E247" s="16" t="s">
        <v>1015</v>
      </c>
      <c r="F247" s="16" t="s">
        <v>1023</v>
      </c>
      <c r="G247" s="16" t="s">
        <v>1030</v>
      </c>
      <c r="H247" s="21" t="s">
        <v>727</v>
      </c>
      <c r="I247" s="18" t="str">
        <f t="shared" si="84"/>
        <v>96H0</v>
      </c>
      <c r="J247" s="22" t="s">
        <v>271</v>
      </c>
      <c r="K247" s="126">
        <f>+Tabla13[[#This Row],[PF TOTAL]]</f>
        <v>0</v>
      </c>
      <c r="L247" s="23"/>
      <c r="M247" s="126">
        <f>+Tabla134[[#This Row],[PF AJUSTE 1]]+Tabla134[[#This Row],[AJUSTE 2]]</f>
        <v>0</v>
      </c>
    </row>
    <row r="248" spans="2:13" ht="15" customHeight="1" x14ac:dyDescent="0.2">
      <c r="B248" s="16" t="s">
        <v>1002</v>
      </c>
      <c r="C248" s="16" t="s">
        <v>1005</v>
      </c>
      <c r="D248" s="46" t="s">
        <v>1051</v>
      </c>
      <c r="E248" s="16" t="s">
        <v>1015</v>
      </c>
      <c r="F248" s="16" t="s">
        <v>1023</v>
      </c>
      <c r="G248" s="16" t="s">
        <v>1030</v>
      </c>
      <c r="H248" s="21" t="s">
        <v>728</v>
      </c>
      <c r="I248" s="18" t="str">
        <f t="shared" si="84"/>
        <v>96RB</v>
      </c>
      <c r="J248" s="22" t="s">
        <v>271</v>
      </c>
      <c r="K248" s="126">
        <f>+Tabla13[[#This Row],[PF TOTAL]]</f>
        <v>0</v>
      </c>
      <c r="L248" s="23"/>
      <c r="M248" s="126">
        <f>+Tabla134[[#This Row],[PF AJUSTE 1]]+Tabla134[[#This Row],[AJUSTE 2]]</f>
        <v>0</v>
      </c>
    </row>
    <row r="249" spans="2:13" s="13" customFormat="1" ht="15.75" customHeight="1" x14ac:dyDescent="0.25">
      <c r="B249" s="24"/>
      <c r="C249" s="24"/>
      <c r="D249" s="24"/>
      <c r="E249" s="24"/>
      <c r="F249" s="24"/>
      <c r="G249" s="24"/>
      <c r="H249" s="17" t="s">
        <v>323</v>
      </c>
      <c r="I249" s="18"/>
      <c r="J249" s="19" t="s">
        <v>273</v>
      </c>
      <c r="K249" s="156">
        <f>+K250</f>
        <v>0</v>
      </c>
      <c r="L249" s="156">
        <f t="shared" ref="L249:M250" si="85">+L250</f>
        <v>0</v>
      </c>
      <c r="M249" s="156">
        <f t="shared" si="85"/>
        <v>0</v>
      </c>
    </row>
    <row r="250" spans="2:13" s="13" customFormat="1" ht="15.75" customHeight="1" x14ac:dyDescent="0.25">
      <c r="B250" s="24"/>
      <c r="C250" s="24"/>
      <c r="D250" s="24"/>
      <c r="E250" s="24"/>
      <c r="F250" s="24"/>
      <c r="G250" s="24"/>
      <c r="H250" s="17" t="s">
        <v>324</v>
      </c>
      <c r="I250" s="18"/>
      <c r="J250" s="19" t="s">
        <v>275</v>
      </c>
      <c r="K250" s="156">
        <f>+K251</f>
        <v>0</v>
      </c>
      <c r="L250" s="156">
        <f t="shared" si="85"/>
        <v>0</v>
      </c>
      <c r="M250" s="156">
        <f t="shared" si="85"/>
        <v>0</v>
      </c>
    </row>
    <row r="251" spans="2:13" ht="15" customHeight="1" x14ac:dyDescent="0.2">
      <c r="B251" s="16" t="s">
        <v>1002</v>
      </c>
      <c r="C251" s="16" t="s">
        <v>1005</v>
      </c>
      <c r="D251" s="46" t="s">
        <v>1051</v>
      </c>
      <c r="E251" s="16" t="s">
        <v>1017</v>
      </c>
      <c r="F251" s="16" t="s">
        <v>1023</v>
      </c>
      <c r="G251" s="16" t="s">
        <v>1031</v>
      </c>
      <c r="H251" s="21" t="s">
        <v>325</v>
      </c>
      <c r="I251" s="18" t="str">
        <f>RIGHT(H251,4)</f>
        <v>- 25</v>
      </c>
      <c r="J251" s="22" t="s">
        <v>275</v>
      </c>
      <c r="K251" s="126">
        <f>+Tabla13[[#This Row],[PF TOTAL]]</f>
        <v>0</v>
      </c>
      <c r="L251" s="23"/>
      <c r="M251" s="126">
        <f>+Tabla134[[#This Row],[PF AJUSTE 1]]+Tabla134[[#This Row],[AJUSTE 2]]</f>
        <v>0</v>
      </c>
    </row>
    <row r="252" spans="2:13" ht="15.75" customHeight="1" x14ac:dyDescent="0.25">
      <c r="B252" s="16"/>
      <c r="C252" s="16"/>
      <c r="D252" s="16"/>
      <c r="E252" s="16"/>
      <c r="F252" s="16"/>
      <c r="G252" s="16"/>
      <c r="H252" s="25" t="s">
        <v>780</v>
      </c>
      <c r="I252" s="186"/>
      <c r="J252" s="25"/>
      <c r="K252" s="153">
        <f>+K208</f>
        <v>594675672654</v>
      </c>
      <c r="L252" s="153">
        <f t="shared" ref="L252:M252" si="86">+L208</f>
        <v>0</v>
      </c>
      <c r="M252" s="153">
        <f t="shared" si="86"/>
        <v>594675672654</v>
      </c>
    </row>
    <row r="253" spans="2:13" ht="15" customHeight="1" x14ac:dyDescent="0.2">
      <c r="B253" s="16"/>
      <c r="C253" s="16"/>
      <c r="D253" s="16"/>
      <c r="E253" s="16"/>
      <c r="F253" s="16"/>
      <c r="G253" s="16"/>
      <c r="H253" s="21"/>
      <c r="I253" s="18"/>
      <c r="J253" s="22"/>
      <c r="K253" s="157"/>
      <c r="L253" s="157"/>
      <c r="M253" s="157"/>
    </row>
    <row r="254" spans="2:13" ht="15.75" customHeight="1" x14ac:dyDescent="0.2">
      <c r="B254" s="16"/>
      <c r="C254" s="16"/>
      <c r="D254" s="16"/>
      <c r="E254" s="16"/>
      <c r="F254" s="16"/>
      <c r="G254" s="16"/>
      <c r="H254" s="28" t="s">
        <v>781</v>
      </c>
      <c r="I254" s="29"/>
      <c r="J254" s="30"/>
      <c r="K254" s="158"/>
      <c r="L254" s="158"/>
      <c r="M254" s="158"/>
    </row>
    <row r="255" spans="2:13" ht="16.5" customHeight="1" x14ac:dyDescent="0.2">
      <c r="B255" s="16"/>
      <c r="C255" s="16"/>
      <c r="D255" s="16"/>
      <c r="E255" s="16"/>
      <c r="F255" s="16"/>
      <c r="G255" s="16"/>
      <c r="H255" s="31" t="s">
        <v>778</v>
      </c>
      <c r="I255" s="29"/>
      <c r="J255" s="32" t="s">
        <v>779</v>
      </c>
      <c r="K255" s="155"/>
      <c r="L255" s="155"/>
      <c r="M255" s="155"/>
    </row>
    <row r="256" spans="2:13" ht="15.75" customHeight="1" x14ac:dyDescent="0.2">
      <c r="B256" s="16"/>
      <c r="C256" s="16"/>
      <c r="D256" s="16"/>
      <c r="E256" s="16"/>
      <c r="F256" s="16"/>
      <c r="G256" s="16"/>
      <c r="H256" s="35" t="s">
        <v>782</v>
      </c>
      <c r="I256" s="29"/>
      <c r="J256" s="36" t="s">
        <v>783</v>
      </c>
      <c r="K256" s="153">
        <f>+K257+K364+K393+K454</f>
        <v>136834714317</v>
      </c>
      <c r="L256" s="153">
        <f t="shared" ref="L256:M256" si="87">+L257+L364+L393+L454</f>
        <v>0</v>
      </c>
      <c r="M256" s="153">
        <f t="shared" si="87"/>
        <v>136834714317</v>
      </c>
    </row>
    <row r="257" spans="2:13" ht="15.75" customHeight="1" x14ac:dyDescent="0.2">
      <c r="B257" s="16"/>
      <c r="C257" s="16"/>
      <c r="D257" s="16"/>
      <c r="E257" s="16"/>
      <c r="F257" s="16"/>
      <c r="G257" s="16"/>
      <c r="H257" s="35" t="s">
        <v>784</v>
      </c>
      <c r="I257" s="29"/>
      <c r="J257" s="36" t="s">
        <v>785</v>
      </c>
      <c r="K257" s="153">
        <f>+K258+K324</f>
        <v>33824846223</v>
      </c>
      <c r="L257" s="153">
        <f t="shared" ref="L257:M257" si="88">+L258+L324</f>
        <v>0</v>
      </c>
      <c r="M257" s="153">
        <f t="shared" si="88"/>
        <v>33824846223</v>
      </c>
    </row>
    <row r="258" spans="2:13" ht="15.75" customHeight="1" x14ac:dyDescent="0.25">
      <c r="B258" s="16"/>
      <c r="C258" s="16"/>
      <c r="D258" s="16"/>
      <c r="E258" s="16"/>
      <c r="F258" s="16"/>
      <c r="G258" s="16"/>
      <c r="H258" s="37" t="s">
        <v>786</v>
      </c>
      <c r="I258" s="38"/>
      <c r="J258" s="39" t="s">
        <v>787</v>
      </c>
      <c r="K258" s="156">
        <f>+K259</f>
        <v>12212970577</v>
      </c>
      <c r="L258" s="156">
        <f t="shared" ref="L258:M258" si="89">+L259</f>
        <v>0</v>
      </c>
      <c r="M258" s="156">
        <f t="shared" si="89"/>
        <v>12212970577</v>
      </c>
    </row>
    <row r="259" spans="2:13" s="13" customFormat="1" ht="15.75" customHeight="1" x14ac:dyDescent="0.25">
      <c r="B259" s="24"/>
      <c r="C259" s="24"/>
      <c r="D259" s="24"/>
      <c r="E259" s="24"/>
      <c r="F259" s="24"/>
      <c r="G259" s="24"/>
      <c r="H259" s="17" t="s">
        <v>326</v>
      </c>
      <c r="I259" s="18"/>
      <c r="J259" s="19" t="s">
        <v>1</v>
      </c>
      <c r="K259" s="156">
        <f>+K260+K311</f>
        <v>12212970577</v>
      </c>
      <c r="L259" s="156">
        <f t="shared" ref="L259:M259" si="90">+L260+L311</f>
        <v>0</v>
      </c>
      <c r="M259" s="156">
        <f t="shared" si="90"/>
        <v>12212970577</v>
      </c>
    </row>
    <row r="260" spans="2:13" s="13" customFormat="1" ht="15.75" customHeight="1" x14ac:dyDescent="0.25">
      <c r="B260" s="24"/>
      <c r="C260" s="24"/>
      <c r="D260" s="24"/>
      <c r="E260" s="24"/>
      <c r="F260" s="24"/>
      <c r="G260" s="24"/>
      <c r="H260" s="17" t="s">
        <v>327</v>
      </c>
      <c r="I260" s="18"/>
      <c r="J260" s="19" t="s">
        <v>3</v>
      </c>
      <c r="K260" s="156">
        <f>+K261+K283</f>
        <v>12212970577</v>
      </c>
      <c r="L260" s="156">
        <f t="shared" ref="L260:M260" si="91">+L261+L283</f>
        <v>0</v>
      </c>
      <c r="M260" s="156">
        <f t="shared" si="91"/>
        <v>12212970577</v>
      </c>
    </row>
    <row r="261" spans="2:13" s="13" customFormat="1" ht="15.75" customHeight="1" x14ac:dyDescent="0.25">
      <c r="B261" s="24"/>
      <c r="C261" s="24"/>
      <c r="D261" s="24"/>
      <c r="E261" s="24"/>
      <c r="F261" s="24"/>
      <c r="G261" s="24"/>
      <c r="H261" s="17" t="s">
        <v>328</v>
      </c>
      <c r="I261" s="18"/>
      <c r="J261" s="19" t="s">
        <v>5</v>
      </c>
      <c r="K261" s="156">
        <f>+K262+K265</f>
        <v>5775542866</v>
      </c>
      <c r="L261" s="156">
        <f t="shared" ref="L261:M261" si="92">+L262+L265</f>
        <v>0</v>
      </c>
      <c r="M261" s="156">
        <f t="shared" si="92"/>
        <v>5775542866</v>
      </c>
    </row>
    <row r="262" spans="2:13" s="13" customFormat="1" ht="15.75" customHeight="1" x14ac:dyDescent="0.25">
      <c r="B262" s="24"/>
      <c r="C262" s="24"/>
      <c r="D262" s="24"/>
      <c r="E262" s="24"/>
      <c r="F262" s="24"/>
      <c r="G262" s="24"/>
      <c r="H262" s="17" t="s">
        <v>329</v>
      </c>
      <c r="I262" s="18"/>
      <c r="J262" s="19" t="s">
        <v>7</v>
      </c>
      <c r="K262" s="156">
        <f>+K263</f>
        <v>203564312</v>
      </c>
      <c r="L262" s="156">
        <f t="shared" ref="L262:M263" si="93">+L263</f>
        <v>0</v>
      </c>
      <c r="M262" s="156">
        <f t="shared" si="93"/>
        <v>203564312</v>
      </c>
    </row>
    <row r="263" spans="2:13" ht="15" customHeight="1" x14ac:dyDescent="0.2">
      <c r="B263" s="16"/>
      <c r="C263" s="16"/>
      <c r="D263" s="16"/>
      <c r="E263" s="16"/>
      <c r="F263" s="16"/>
      <c r="G263" s="16"/>
      <c r="H263" s="21" t="s">
        <v>330</v>
      </c>
      <c r="I263" s="18"/>
      <c r="J263" s="22" t="s">
        <v>331</v>
      </c>
      <c r="K263" s="157">
        <f>+K264</f>
        <v>203564312</v>
      </c>
      <c r="L263" s="157">
        <f t="shared" si="93"/>
        <v>0</v>
      </c>
      <c r="M263" s="157">
        <f t="shared" si="93"/>
        <v>203564312</v>
      </c>
    </row>
    <row r="264" spans="2:13" ht="15" customHeight="1" x14ac:dyDescent="0.2">
      <c r="B264" s="16" t="s">
        <v>1002</v>
      </c>
      <c r="C264" s="16" t="s">
        <v>1006</v>
      </c>
      <c r="D264" s="16" t="s">
        <v>1046</v>
      </c>
      <c r="E264" s="16" t="s">
        <v>1021</v>
      </c>
      <c r="F264" s="16" t="s">
        <v>1022</v>
      </c>
      <c r="G264" s="16" t="s">
        <v>1024</v>
      </c>
      <c r="H264" s="21" t="s">
        <v>332</v>
      </c>
      <c r="I264" s="18" t="str">
        <f>RIGHT(H264,4)</f>
        <v>- 71</v>
      </c>
      <c r="J264" s="22" t="s">
        <v>331</v>
      </c>
      <c r="K264" s="126">
        <f>+Tabla13[[#This Row],[PF TOTAL]]</f>
        <v>203564312</v>
      </c>
      <c r="L264" s="23"/>
      <c r="M264" s="126">
        <f>+Tabla134[[#This Row],[PF AJUSTE 1]]+Tabla134[[#This Row],[AJUSTE 2]]</f>
        <v>203564312</v>
      </c>
    </row>
    <row r="265" spans="2:13" s="13" customFormat="1" ht="15.75" customHeight="1" x14ac:dyDescent="0.25">
      <c r="B265" s="24"/>
      <c r="C265" s="24"/>
      <c r="D265" s="24"/>
      <c r="E265" s="24"/>
      <c r="F265" s="24"/>
      <c r="G265" s="24"/>
      <c r="H265" s="17" t="s">
        <v>333</v>
      </c>
      <c r="I265" s="18"/>
      <c r="J265" s="19" t="s">
        <v>14</v>
      </c>
      <c r="K265" s="156">
        <f>+K266+K270+K278</f>
        <v>5571978554</v>
      </c>
      <c r="L265" s="156">
        <f t="shared" ref="L265:M265" si="94">+L266+L270+L278</f>
        <v>0</v>
      </c>
      <c r="M265" s="156">
        <f t="shared" si="94"/>
        <v>5571978554</v>
      </c>
    </row>
    <row r="266" spans="2:13" ht="15" customHeight="1" x14ac:dyDescent="0.2">
      <c r="B266" s="16"/>
      <c r="C266" s="16"/>
      <c r="D266" s="16"/>
      <c r="E266" s="16"/>
      <c r="F266" s="16"/>
      <c r="G266" s="16"/>
      <c r="H266" s="21" t="s">
        <v>334</v>
      </c>
      <c r="I266" s="18"/>
      <c r="J266" s="22" t="s">
        <v>335</v>
      </c>
      <c r="K266" s="157">
        <f>+K267</f>
        <v>371880629</v>
      </c>
      <c r="L266" s="157">
        <f t="shared" ref="L266:M266" si="95">+L267</f>
        <v>0</v>
      </c>
      <c r="M266" s="157">
        <f t="shared" si="95"/>
        <v>371880629</v>
      </c>
    </row>
    <row r="267" spans="2:13" ht="15" customHeight="1" x14ac:dyDescent="0.2">
      <c r="B267" s="16" t="s">
        <v>1002</v>
      </c>
      <c r="C267" s="16" t="s">
        <v>1006</v>
      </c>
      <c r="D267" s="16" t="s">
        <v>1046</v>
      </c>
      <c r="E267" s="16" t="s">
        <v>1021</v>
      </c>
      <c r="F267" s="16" t="s">
        <v>1022</v>
      </c>
      <c r="G267" s="16" t="s">
        <v>1025</v>
      </c>
      <c r="H267" s="21" t="s">
        <v>336</v>
      </c>
      <c r="I267" s="18" t="str">
        <f>RIGHT(H267,4)</f>
        <v>- 72</v>
      </c>
      <c r="J267" s="22" t="s">
        <v>335</v>
      </c>
      <c r="K267" s="126">
        <f>+Tabla13[[#This Row],[PF TOTAL]]</f>
        <v>371880629</v>
      </c>
      <c r="L267" s="23"/>
      <c r="M267" s="126">
        <f>+Tabla134[[#This Row],[PF AJUSTE 1]]+Tabla134[[#This Row],[AJUSTE 2]]</f>
        <v>371880629</v>
      </c>
    </row>
    <row r="268" spans="2:13" ht="15" customHeight="1" x14ac:dyDescent="0.2">
      <c r="B268" s="16"/>
      <c r="C268" s="16"/>
      <c r="D268" s="16"/>
      <c r="E268" s="16"/>
      <c r="F268" s="16"/>
      <c r="G268" s="16"/>
      <c r="H268" s="21" t="s">
        <v>337</v>
      </c>
      <c r="I268" s="18"/>
      <c r="J268" s="22" t="s">
        <v>338</v>
      </c>
      <c r="K268" s="157">
        <f>+K269</f>
        <v>0</v>
      </c>
      <c r="L268" s="157">
        <f t="shared" ref="L268:M268" si="96">+L269</f>
        <v>0</v>
      </c>
      <c r="M268" s="157">
        <f t="shared" si="96"/>
        <v>0</v>
      </c>
    </row>
    <row r="269" spans="2:13" ht="15" customHeight="1" x14ac:dyDescent="0.2">
      <c r="B269" s="16" t="s">
        <v>1002</v>
      </c>
      <c r="C269" s="16" t="s">
        <v>1006</v>
      </c>
      <c r="D269" s="16" t="s">
        <v>1046</v>
      </c>
      <c r="E269" s="16" t="s">
        <v>1021</v>
      </c>
      <c r="F269" s="16" t="s">
        <v>1022</v>
      </c>
      <c r="G269" s="16" t="s">
        <v>1025</v>
      </c>
      <c r="H269" s="21" t="s">
        <v>339</v>
      </c>
      <c r="I269" s="18" t="str">
        <f>RIGHT(H269,4)</f>
        <v xml:space="preserve"> 150</v>
      </c>
      <c r="J269" s="22" t="s">
        <v>338</v>
      </c>
      <c r="K269" s="126">
        <f>+Tabla13[[#This Row],[PF TOTAL]]</f>
        <v>0</v>
      </c>
      <c r="L269" s="23"/>
      <c r="M269" s="126">
        <f>+Tabla134[[#This Row],[PF AJUSTE 1]]+Tabla134[[#This Row],[AJUSTE 2]]</f>
        <v>0</v>
      </c>
    </row>
    <row r="270" spans="2:13" ht="15" customHeight="1" x14ac:dyDescent="0.2">
      <c r="B270" s="16"/>
      <c r="C270" s="16"/>
      <c r="D270" s="16"/>
      <c r="E270" s="16"/>
      <c r="F270" s="16"/>
      <c r="G270" s="16"/>
      <c r="H270" s="21" t="s">
        <v>340</v>
      </c>
      <c r="I270" s="18"/>
      <c r="J270" s="22" t="s">
        <v>29</v>
      </c>
      <c r="K270" s="157">
        <f>+K271</f>
        <v>751578099</v>
      </c>
      <c r="L270" s="157">
        <f t="shared" ref="L270:M270" si="97">+L271</f>
        <v>0</v>
      </c>
      <c r="M270" s="157">
        <f t="shared" si="97"/>
        <v>751578099</v>
      </c>
    </row>
    <row r="271" spans="2:13" ht="15" customHeight="1" x14ac:dyDescent="0.2">
      <c r="B271" s="16"/>
      <c r="C271" s="16"/>
      <c r="D271" s="16"/>
      <c r="E271" s="16"/>
      <c r="F271" s="16"/>
      <c r="G271" s="16"/>
      <c r="H271" s="21" t="s">
        <v>341</v>
      </c>
      <c r="I271" s="18"/>
      <c r="J271" s="22" t="s">
        <v>31</v>
      </c>
      <c r="K271" s="157">
        <f>+K272+K275</f>
        <v>751578099</v>
      </c>
      <c r="L271" s="157">
        <f t="shared" ref="L271:M271" si="98">+L272+L275</f>
        <v>0</v>
      </c>
      <c r="M271" s="157">
        <f t="shared" si="98"/>
        <v>751578099</v>
      </c>
    </row>
    <row r="272" spans="2:13" ht="30" customHeight="1" x14ac:dyDescent="0.2">
      <c r="B272" s="16"/>
      <c r="C272" s="16"/>
      <c r="D272" s="16"/>
      <c r="E272" s="16"/>
      <c r="F272" s="16"/>
      <c r="G272" s="16"/>
      <c r="H272" s="21" t="s">
        <v>342</v>
      </c>
      <c r="I272" s="18"/>
      <c r="J272" s="22" t="s">
        <v>33</v>
      </c>
      <c r="K272" s="157">
        <f>+K273+K274</f>
        <v>320371442</v>
      </c>
      <c r="L272" s="157">
        <f t="shared" ref="L272:M272" si="99">+L273+L274</f>
        <v>0</v>
      </c>
      <c r="M272" s="157">
        <f t="shared" si="99"/>
        <v>320371442</v>
      </c>
    </row>
    <row r="273" spans="2:13" ht="30" customHeight="1" x14ac:dyDescent="0.2">
      <c r="B273" s="16" t="s">
        <v>1002</v>
      </c>
      <c r="C273" s="16" t="s">
        <v>1006</v>
      </c>
      <c r="D273" s="16" t="s">
        <v>1046</v>
      </c>
      <c r="E273" s="16" t="s">
        <v>1021</v>
      </c>
      <c r="F273" s="16" t="s">
        <v>1022</v>
      </c>
      <c r="G273" s="16" t="s">
        <v>1025</v>
      </c>
      <c r="H273" s="21" t="s">
        <v>343</v>
      </c>
      <c r="I273" s="18" t="str">
        <f>RIGHT(H273,4)</f>
        <v xml:space="preserve"> 150</v>
      </c>
      <c r="J273" s="22" t="s">
        <v>35</v>
      </c>
      <c r="K273" s="126">
        <f>+Tabla13[[#This Row],[PF TOTAL]]</f>
        <v>124968007</v>
      </c>
      <c r="L273" s="23"/>
      <c r="M273" s="126">
        <f>+Tabla134[[#This Row],[PF AJUSTE 1]]+Tabla134[[#This Row],[AJUSTE 2]]</f>
        <v>124968007</v>
      </c>
    </row>
    <row r="274" spans="2:13" ht="14.1" customHeight="1" x14ac:dyDescent="0.2">
      <c r="B274" s="16" t="s">
        <v>1002</v>
      </c>
      <c r="C274" s="16" t="s">
        <v>1006</v>
      </c>
      <c r="D274" s="16" t="s">
        <v>1046</v>
      </c>
      <c r="E274" s="16" t="s">
        <v>1021</v>
      </c>
      <c r="F274" s="16" t="s">
        <v>1022</v>
      </c>
      <c r="G274" s="16" t="s">
        <v>1025</v>
      </c>
      <c r="H274" s="21" t="s">
        <v>344</v>
      </c>
      <c r="I274" s="18" t="str">
        <f>RIGHT(H274,4)</f>
        <v xml:space="preserve"> 150</v>
      </c>
      <c r="J274" s="22" t="s">
        <v>38</v>
      </c>
      <c r="K274" s="126">
        <f>+Tabla13[[#This Row],[PF TOTAL]]</f>
        <v>195403435</v>
      </c>
      <c r="L274" s="23"/>
      <c r="M274" s="126">
        <f>+Tabla134[[#This Row],[PF AJUSTE 1]]+Tabla134[[#This Row],[AJUSTE 2]]</f>
        <v>195403435</v>
      </c>
    </row>
    <row r="275" spans="2:13" ht="30" customHeight="1" x14ac:dyDescent="0.2">
      <c r="B275" s="16"/>
      <c r="C275" s="16"/>
      <c r="D275" s="16"/>
      <c r="E275" s="16"/>
      <c r="F275" s="16"/>
      <c r="G275" s="16"/>
      <c r="H275" s="21" t="s">
        <v>345</v>
      </c>
      <c r="I275" s="18"/>
      <c r="J275" s="22" t="s">
        <v>41</v>
      </c>
      <c r="K275" s="157">
        <f>+K276+K277</f>
        <v>431206657</v>
      </c>
      <c r="L275" s="157">
        <f t="shared" ref="L275:M275" si="100">+L276+L277</f>
        <v>0</v>
      </c>
      <c r="M275" s="157">
        <f t="shared" si="100"/>
        <v>431206657</v>
      </c>
    </row>
    <row r="276" spans="2:13" ht="30" customHeight="1" x14ac:dyDescent="0.2">
      <c r="B276" s="16" t="s">
        <v>1002</v>
      </c>
      <c r="C276" s="16" t="s">
        <v>1006</v>
      </c>
      <c r="D276" s="16" t="s">
        <v>1046</v>
      </c>
      <c r="E276" s="16" t="s">
        <v>1021</v>
      </c>
      <c r="F276" s="16" t="s">
        <v>1022</v>
      </c>
      <c r="G276" s="16" t="s">
        <v>1025</v>
      </c>
      <c r="H276" s="21" t="s">
        <v>346</v>
      </c>
      <c r="I276" s="18" t="str">
        <f>RIGHT(H276,4)</f>
        <v xml:space="preserve"> 150</v>
      </c>
      <c r="J276" s="22" t="s">
        <v>43</v>
      </c>
      <c r="K276" s="126">
        <f>+Tabla13[[#This Row],[PF TOTAL]]</f>
        <v>138101501</v>
      </c>
      <c r="L276" s="23"/>
      <c r="M276" s="126">
        <f>+Tabla134[[#This Row],[PF AJUSTE 1]]+Tabla134[[#This Row],[AJUSTE 2]]</f>
        <v>138101501</v>
      </c>
    </row>
    <row r="277" spans="2:13" ht="17.45" customHeight="1" x14ac:dyDescent="0.2">
      <c r="B277" s="16" t="s">
        <v>1002</v>
      </c>
      <c r="C277" s="16" t="s">
        <v>1006</v>
      </c>
      <c r="D277" s="16" t="s">
        <v>1046</v>
      </c>
      <c r="E277" s="16" t="s">
        <v>1021</v>
      </c>
      <c r="F277" s="16" t="s">
        <v>1022</v>
      </c>
      <c r="G277" s="16" t="s">
        <v>1025</v>
      </c>
      <c r="H277" s="21" t="s">
        <v>347</v>
      </c>
      <c r="I277" s="18" t="str">
        <f>RIGHT(H277,4)</f>
        <v xml:space="preserve"> 150</v>
      </c>
      <c r="J277" s="22" t="s">
        <v>46</v>
      </c>
      <c r="K277" s="126">
        <f>+Tabla13[[#This Row],[PF TOTAL]]</f>
        <v>293105156</v>
      </c>
      <c r="L277" s="23"/>
      <c r="M277" s="126">
        <f>+Tabla134[[#This Row],[PF AJUSTE 1]]+Tabla134[[#This Row],[AJUSTE 2]]</f>
        <v>293105156</v>
      </c>
    </row>
    <row r="278" spans="2:13" ht="15" customHeight="1" x14ac:dyDescent="0.2">
      <c r="B278" s="16"/>
      <c r="C278" s="16"/>
      <c r="D278" s="16"/>
      <c r="E278" s="16"/>
      <c r="F278" s="16"/>
      <c r="G278" s="16"/>
      <c r="H278" s="21" t="s">
        <v>348</v>
      </c>
      <c r="I278" s="18"/>
      <c r="J278" s="22" t="s">
        <v>49</v>
      </c>
      <c r="K278" s="157">
        <f>+K279+K281</f>
        <v>4448519826</v>
      </c>
      <c r="L278" s="157">
        <f t="shared" ref="L278:M278" si="101">+L279+L281</f>
        <v>0</v>
      </c>
      <c r="M278" s="157">
        <f t="shared" si="101"/>
        <v>4448519826</v>
      </c>
    </row>
    <row r="279" spans="2:13" ht="15" customHeight="1" x14ac:dyDescent="0.2">
      <c r="B279" s="16"/>
      <c r="C279" s="16"/>
      <c r="D279" s="16"/>
      <c r="E279" s="16"/>
      <c r="F279" s="16"/>
      <c r="G279" s="16"/>
      <c r="H279" s="21" t="s">
        <v>349</v>
      </c>
      <c r="I279" s="18"/>
      <c r="J279" s="22" t="s">
        <v>51</v>
      </c>
      <c r="K279" s="157">
        <f>+K280</f>
        <v>4446770946</v>
      </c>
      <c r="L279" s="157">
        <f t="shared" ref="L279:M279" si="102">+L280</f>
        <v>0</v>
      </c>
      <c r="M279" s="157">
        <f t="shared" si="102"/>
        <v>4446770946</v>
      </c>
    </row>
    <row r="280" spans="2:13" ht="15" customHeight="1" x14ac:dyDescent="0.2">
      <c r="B280" s="16" t="s">
        <v>1002</v>
      </c>
      <c r="C280" s="16" t="s">
        <v>1006</v>
      </c>
      <c r="D280" s="16" t="s">
        <v>1046</v>
      </c>
      <c r="E280" s="16" t="s">
        <v>1021</v>
      </c>
      <c r="F280" s="16" t="s">
        <v>1022</v>
      </c>
      <c r="G280" s="16" t="s">
        <v>1025</v>
      </c>
      <c r="H280" s="21" t="s">
        <v>350</v>
      </c>
      <c r="I280" s="18" t="str">
        <f>RIGHT(H280,4)</f>
        <v>- 29</v>
      </c>
      <c r="J280" s="22" t="s">
        <v>51</v>
      </c>
      <c r="K280" s="126">
        <f>+Tabla13[[#This Row],[PF TOTAL]]</f>
        <v>4446770946</v>
      </c>
      <c r="L280" s="23"/>
      <c r="M280" s="126">
        <f>+Tabla134[[#This Row],[PF AJUSTE 1]]+Tabla134[[#This Row],[AJUSTE 2]]</f>
        <v>4446770946</v>
      </c>
    </row>
    <row r="281" spans="2:13" ht="15" customHeight="1" x14ac:dyDescent="0.2">
      <c r="B281" s="16"/>
      <c r="C281" s="16"/>
      <c r="D281" s="16"/>
      <c r="E281" s="16"/>
      <c r="F281" s="16"/>
      <c r="G281" s="16"/>
      <c r="H281" s="21" t="s">
        <v>351</v>
      </c>
      <c r="I281" s="18"/>
      <c r="J281" s="22" t="s">
        <v>54</v>
      </c>
      <c r="K281" s="157">
        <f>+K282</f>
        <v>1748880</v>
      </c>
      <c r="L281" s="157">
        <f t="shared" ref="L281:M281" si="103">+L282</f>
        <v>0</v>
      </c>
      <c r="M281" s="157">
        <f t="shared" si="103"/>
        <v>1748880</v>
      </c>
    </row>
    <row r="282" spans="2:13" ht="15" customHeight="1" x14ac:dyDescent="0.2">
      <c r="B282" s="16" t="s">
        <v>1002</v>
      </c>
      <c r="C282" s="16" t="s">
        <v>1006</v>
      </c>
      <c r="D282" s="16" t="s">
        <v>1046</v>
      </c>
      <c r="E282" s="16" t="s">
        <v>1021</v>
      </c>
      <c r="F282" s="16" t="s">
        <v>1022</v>
      </c>
      <c r="G282" s="16" t="s">
        <v>1025</v>
      </c>
      <c r="H282" s="21" t="s">
        <v>352</v>
      </c>
      <c r="I282" s="18" t="str">
        <f>RIGHT(H282,4)</f>
        <v>- 29</v>
      </c>
      <c r="J282" s="22" t="s">
        <v>54</v>
      </c>
      <c r="K282" s="126">
        <f>+Tabla13[[#This Row],[PF TOTAL]]</f>
        <v>1748880</v>
      </c>
      <c r="L282" s="23"/>
      <c r="M282" s="126">
        <f>+Tabla134[[#This Row],[PF AJUSTE 1]]+Tabla134[[#This Row],[AJUSTE 2]]</f>
        <v>1748880</v>
      </c>
    </row>
    <row r="283" spans="2:13" s="13" customFormat="1" ht="15.75" customHeight="1" x14ac:dyDescent="0.25">
      <c r="B283" s="24"/>
      <c r="C283" s="24"/>
      <c r="D283" s="24"/>
      <c r="E283" s="24"/>
      <c r="F283" s="24"/>
      <c r="G283" s="24"/>
      <c r="H283" s="17" t="s">
        <v>353</v>
      </c>
      <c r="I283" s="18"/>
      <c r="J283" s="19" t="s">
        <v>86</v>
      </c>
      <c r="K283" s="156">
        <f>+K284+K287</f>
        <v>6437427711</v>
      </c>
      <c r="L283" s="156">
        <f t="shared" ref="L283:M283" si="104">+L284+L287</f>
        <v>0</v>
      </c>
      <c r="M283" s="156">
        <f t="shared" si="104"/>
        <v>6437427711</v>
      </c>
    </row>
    <row r="284" spans="2:13" s="13" customFormat="1" ht="15.75" customHeight="1" x14ac:dyDescent="0.25">
      <c r="B284" s="24"/>
      <c r="C284" s="24"/>
      <c r="D284" s="24"/>
      <c r="E284" s="24"/>
      <c r="F284" s="24"/>
      <c r="G284" s="24"/>
      <c r="H284" s="17" t="s">
        <v>354</v>
      </c>
      <c r="I284" s="18"/>
      <c r="J284" s="19" t="s">
        <v>355</v>
      </c>
      <c r="K284" s="156">
        <f>+K285</f>
        <v>16326200</v>
      </c>
      <c r="L284" s="156">
        <f t="shared" ref="L284:M285" si="105">+L285</f>
        <v>0</v>
      </c>
      <c r="M284" s="156">
        <f t="shared" si="105"/>
        <v>16326200</v>
      </c>
    </row>
    <row r="285" spans="2:13" ht="15" customHeight="1" x14ac:dyDescent="0.2">
      <c r="B285" s="16"/>
      <c r="C285" s="16"/>
      <c r="D285" s="16"/>
      <c r="E285" s="16"/>
      <c r="F285" s="16"/>
      <c r="G285" s="16"/>
      <c r="H285" s="21" t="s">
        <v>356</v>
      </c>
      <c r="I285" s="18"/>
      <c r="J285" s="22" t="s">
        <v>357</v>
      </c>
      <c r="K285" s="157">
        <f>+K286</f>
        <v>16326200</v>
      </c>
      <c r="L285" s="157">
        <f t="shared" si="105"/>
        <v>0</v>
      </c>
      <c r="M285" s="157">
        <f t="shared" si="105"/>
        <v>16326200</v>
      </c>
    </row>
    <row r="286" spans="2:13" ht="15" customHeight="1" x14ac:dyDescent="0.2">
      <c r="B286" s="16" t="s">
        <v>1002</v>
      </c>
      <c r="C286" s="16" t="s">
        <v>1006</v>
      </c>
      <c r="D286" s="16" t="s">
        <v>1046</v>
      </c>
      <c r="E286" s="16" t="s">
        <v>1021</v>
      </c>
      <c r="F286" s="16" t="s">
        <v>1022</v>
      </c>
      <c r="G286" s="16" t="s">
        <v>1025</v>
      </c>
      <c r="H286" s="21" t="s">
        <v>358</v>
      </c>
      <c r="I286" s="18" t="str">
        <f>RIGHT(H286,4)</f>
        <v>- 34</v>
      </c>
      <c r="J286" s="22" t="s">
        <v>359</v>
      </c>
      <c r="K286" s="126">
        <f>+Tabla13[[#This Row],[PF TOTAL]]</f>
        <v>16326200</v>
      </c>
      <c r="L286" s="23"/>
      <c r="M286" s="126">
        <f>+Tabla134[[#This Row],[PF AJUSTE 1]]+Tabla134[[#This Row],[AJUSTE 2]]</f>
        <v>16326200</v>
      </c>
    </row>
    <row r="287" spans="2:13" s="13" customFormat="1" ht="15.75" customHeight="1" x14ac:dyDescent="0.25">
      <c r="B287" s="24"/>
      <c r="C287" s="24"/>
      <c r="D287" s="24"/>
      <c r="E287" s="24"/>
      <c r="F287" s="24"/>
      <c r="G287" s="24"/>
      <c r="H287" s="17" t="s">
        <v>360</v>
      </c>
      <c r="I287" s="18"/>
      <c r="J287" s="19" t="s">
        <v>195</v>
      </c>
      <c r="K287" s="156">
        <f>+K288+K297</f>
        <v>6421101511</v>
      </c>
      <c r="L287" s="156">
        <f t="shared" ref="L287:M287" si="106">+L288+L297</f>
        <v>0</v>
      </c>
      <c r="M287" s="156">
        <f t="shared" si="106"/>
        <v>6421101511</v>
      </c>
    </row>
    <row r="288" spans="2:13" ht="15" customHeight="1" x14ac:dyDescent="0.2">
      <c r="B288" s="16"/>
      <c r="C288" s="16"/>
      <c r="D288" s="16"/>
      <c r="E288" s="16"/>
      <c r="F288" s="16"/>
      <c r="G288" s="16"/>
      <c r="H288" s="21" t="s">
        <v>361</v>
      </c>
      <c r="I288" s="18"/>
      <c r="J288" s="22" t="s">
        <v>362</v>
      </c>
      <c r="K288" s="157">
        <f>+K289+K291+K293+K295</f>
        <v>3238509763</v>
      </c>
      <c r="L288" s="157">
        <f t="shared" ref="L288:M288" si="107">+L289+L291+L293+L295</f>
        <v>0</v>
      </c>
      <c r="M288" s="157">
        <f t="shared" si="107"/>
        <v>3238509763</v>
      </c>
    </row>
    <row r="289" spans="2:13" ht="15" customHeight="1" x14ac:dyDescent="0.2">
      <c r="B289" s="16"/>
      <c r="C289" s="16"/>
      <c r="D289" s="16"/>
      <c r="E289" s="16"/>
      <c r="F289" s="16"/>
      <c r="G289" s="16"/>
      <c r="H289" s="21" t="s">
        <v>363</v>
      </c>
      <c r="I289" s="18"/>
      <c r="J289" s="22" t="s">
        <v>364</v>
      </c>
      <c r="K289" s="157">
        <f>+K290</f>
        <v>529041108</v>
      </c>
      <c r="L289" s="157">
        <f t="shared" ref="L289:M289" si="108">+L290</f>
        <v>0</v>
      </c>
      <c r="M289" s="157">
        <f t="shared" si="108"/>
        <v>529041108</v>
      </c>
    </row>
    <row r="290" spans="2:13" ht="15" customHeight="1" x14ac:dyDescent="0.2">
      <c r="B290" s="16" t="s">
        <v>1002</v>
      </c>
      <c r="C290" s="16" t="s">
        <v>1006</v>
      </c>
      <c r="D290" s="16" t="s">
        <v>1046</v>
      </c>
      <c r="E290" s="16" t="s">
        <v>1021</v>
      </c>
      <c r="F290" s="16" t="s">
        <v>1022</v>
      </c>
      <c r="G290" s="16" t="s">
        <v>1025</v>
      </c>
      <c r="H290" s="21" t="s">
        <v>365</v>
      </c>
      <c r="I290" s="18" t="str">
        <f t="shared" ref="I290:I296" si="109">RIGHT(H290,4)</f>
        <v>- 71</v>
      </c>
      <c r="J290" s="22" t="s">
        <v>364</v>
      </c>
      <c r="K290" s="126">
        <f>+Tabla13[[#This Row],[PF TOTAL]]</f>
        <v>529041108</v>
      </c>
      <c r="L290" s="23"/>
      <c r="M290" s="126">
        <f>+Tabla134[[#This Row],[PF AJUSTE 1]]+Tabla134[[#This Row],[AJUSTE 2]]</f>
        <v>529041108</v>
      </c>
    </row>
    <row r="291" spans="2:13" ht="30" customHeight="1" x14ac:dyDescent="0.2">
      <c r="B291" s="16"/>
      <c r="C291" s="16"/>
      <c r="D291" s="16"/>
      <c r="E291" s="16"/>
      <c r="F291" s="16"/>
      <c r="G291" s="16"/>
      <c r="H291" s="21" t="s">
        <v>366</v>
      </c>
      <c r="I291" s="18"/>
      <c r="J291" s="22" t="s">
        <v>367</v>
      </c>
      <c r="K291" s="157">
        <f>+K292</f>
        <v>1976205363</v>
      </c>
      <c r="L291" s="157">
        <f t="shared" ref="L291:M291" si="110">+L292</f>
        <v>0</v>
      </c>
      <c r="M291" s="157">
        <f t="shared" si="110"/>
        <v>1976205363</v>
      </c>
    </row>
    <row r="292" spans="2:13" ht="30" customHeight="1" x14ac:dyDescent="0.2">
      <c r="B292" s="16" t="s">
        <v>1002</v>
      </c>
      <c r="C292" s="16" t="s">
        <v>1006</v>
      </c>
      <c r="D292" s="16" t="s">
        <v>1046</v>
      </c>
      <c r="E292" s="16" t="s">
        <v>1021</v>
      </c>
      <c r="F292" s="16" t="s">
        <v>1022</v>
      </c>
      <c r="G292" s="16" t="s">
        <v>1025</v>
      </c>
      <c r="H292" s="21" t="s">
        <v>368</v>
      </c>
      <c r="I292" s="18" t="str">
        <f t="shared" si="109"/>
        <v>- 70</v>
      </c>
      <c r="J292" s="22" t="s">
        <v>367</v>
      </c>
      <c r="K292" s="126">
        <f>+Tabla13[[#This Row],[PF TOTAL]]</f>
        <v>1976205363</v>
      </c>
      <c r="L292" s="23"/>
      <c r="M292" s="126">
        <f>+Tabla134[[#This Row],[PF AJUSTE 1]]+Tabla134[[#This Row],[AJUSTE 2]]</f>
        <v>1976205363</v>
      </c>
    </row>
    <row r="293" spans="2:13" ht="30" customHeight="1" x14ac:dyDescent="0.2">
      <c r="B293" s="16"/>
      <c r="C293" s="16"/>
      <c r="D293" s="16"/>
      <c r="E293" s="16"/>
      <c r="F293" s="16"/>
      <c r="G293" s="16"/>
      <c r="H293" s="21" t="s">
        <v>369</v>
      </c>
      <c r="I293" s="18"/>
      <c r="J293" s="22" t="s">
        <v>370</v>
      </c>
      <c r="K293" s="157">
        <f>+K294</f>
        <v>13906851</v>
      </c>
      <c r="L293" s="157">
        <f t="shared" ref="L293:M293" si="111">+L294</f>
        <v>0</v>
      </c>
      <c r="M293" s="157">
        <f t="shared" si="111"/>
        <v>13906851</v>
      </c>
    </row>
    <row r="294" spans="2:13" ht="30" customHeight="1" x14ac:dyDescent="0.2">
      <c r="B294" s="16" t="s">
        <v>1002</v>
      </c>
      <c r="C294" s="16" t="s">
        <v>1006</v>
      </c>
      <c r="D294" s="16" t="s">
        <v>1046</v>
      </c>
      <c r="E294" s="16" t="s">
        <v>1021</v>
      </c>
      <c r="F294" s="16" t="s">
        <v>1022</v>
      </c>
      <c r="G294" s="16" t="s">
        <v>1025</v>
      </c>
      <c r="H294" s="21" t="s">
        <v>371</v>
      </c>
      <c r="I294" s="18" t="str">
        <f t="shared" si="109"/>
        <v xml:space="preserve"> 103</v>
      </c>
      <c r="J294" s="22" t="s">
        <v>370</v>
      </c>
      <c r="K294" s="126">
        <f>+Tabla13[[#This Row],[PF TOTAL]]</f>
        <v>13906851</v>
      </c>
      <c r="L294" s="23"/>
      <c r="M294" s="126">
        <f>+Tabla134[[#This Row],[PF AJUSTE 1]]+Tabla134[[#This Row],[AJUSTE 2]]</f>
        <v>13906851</v>
      </c>
    </row>
    <row r="295" spans="2:13" ht="15" customHeight="1" x14ac:dyDescent="0.2">
      <c r="B295" s="16"/>
      <c r="C295" s="16"/>
      <c r="D295" s="16"/>
      <c r="E295" s="16"/>
      <c r="F295" s="16"/>
      <c r="G295" s="16"/>
      <c r="H295" s="21" t="s">
        <v>372</v>
      </c>
      <c r="I295" s="18"/>
      <c r="J295" s="22" t="s">
        <v>373</v>
      </c>
      <c r="K295" s="157">
        <f>+K296</f>
        <v>719356441</v>
      </c>
      <c r="L295" s="157">
        <f t="shared" ref="L295:M295" si="112">+L296</f>
        <v>0</v>
      </c>
      <c r="M295" s="157">
        <f t="shared" si="112"/>
        <v>719356441</v>
      </c>
    </row>
    <row r="296" spans="2:13" ht="15" customHeight="1" x14ac:dyDescent="0.2">
      <c r="B296" s="16" t="s">
        <v>1002</v>
      </c>
      <c r="C296" s="16" t="s">
        <v>1006</v>
      </c>
      <c r="D296" s="16" t="s">
        <v>1046</v>
      </c>
      <c r="E296" s="16" t="s">
        <v>1021</v>
      </c>
      <c r="F296" s="16" t="s">
        <v>1022</v>
      </c>
      <c r="G296" s="16" t="s">
        <v>1025</v>
      </c>
      <c r="H296" s="21" t="s">
        <v>374</v>
      </c>
      <c r="I296" s="18" t="str">
        <f t="shared" si="109"/>
        <v>- 89</v>
      </c>
      <c r="J296" s="22" t="s">
        <v>373</v>
      </c>
      <c r="K296" s="126">
        <f>+Tabla13[[#This Row],[PF TOTAL]]</f>
        <v>719356441</v>
      </c>
      <c r="L296" s="23"/>
      <c r="M296" s="126">
        <f>+Tabla134[[#This Row],[PF AJUSTE 1]]+Tabla134[[#This Row],[AJUSTE 2]]</f>
        <v>719356441</v>
      </c>
    </row>
    <row r="297" spans="2:13" ht="30" customHeight="1" x14ac:dyDescent="0.2">
      <c r="B297" s="16"/>
      <c r="C297" s="16"/>
      <c r="D297" s="16"/>
      <c r="E297" s="16"/>
      <c r="F297" s="16"/>
      <c r="G297" s="16"/>
      <c r="H297" s="21" t="s">
        <v>375</v>
      </c>
      <c r="I297" s="18"/>
      <c r="J297" s="22" t="s">
        <v>197</v>
      </c>
      <c r="K297" s="157">
        <f>+K298</f>
        <v>3182591748</v>
      </c>
      <c r="L297" s="157">
        <f t="shared" ref="L297:M297" si="113">+L298</f>
        <v>0</v>
      </c>
      <c r="M297" s="157">
        <f t="shared" si="113"/>
        <v>3182591748</v>
      </c>
    </row>
    <row r="298" spans="2:13" ht="30" customHeight="1" x14ac:dyDescent="0.2">
      <c r="B298" s="16"/>
      <c r="C298" s="16"/>
      <c r="D298" s="16"/>
      <c r="E298" s="16"/>
      <c r="F298" s="16"/>
      <c r="G298" s="16"/>
      <c r="H298" s="21" t="s">
        <v>376</v>
      </c>
      <c r="I298" s="18"/>
      <c r="J298" s="22" t="s">
        <v>199</v>
      </c>
      <c r="K298" s="157">
        <f>+K299+K304</f>
        <v>3182591748</v>
      </c>
      <c r="L298" s="157">
        <f t="shared" ref="L298:M298" si="114">+L299+L304</f>
        <v>0</v>
      </c>
      <c r="M298" s="157">
        <f t="shared" si="114"/>
        <v>3182591748</v>
      </c>
    </row>
    <row r="299" spans="2:13" ht="15" customHeight="1" x14ac:dyDescent="0.2">
      <c r="B299" s="16"/>
      <c r="C299" s="16"/>
      <c r="D299" s="16"/>
      <c r="E299" s="16"/>
      <c r="F299" s="16"/>
      <c r="G299" s="16"/>
      <c r="H299" s="21" t="s">
        <v>377</v>
      </c>
      <c r="I299" s="18"/>
      <c r="J299" s="22" t="s">
        <v>201</v>
      </c>
      <c r="K299" s="157">
        <f>+K300+K302</f>
        <v>175245118</v>
      </c>
      <c r="L299" s="157">
        <f t="shared" ref="L299:M299" si="115">+L300+L302</f>
        <v>0</v>
      </c>
      <c r="M299" s="157">
        <f t="shared" si="115"/>
        <v>175245118</v>
      </c>
    </row>
    <row r="300" spans="2:13" ht="30" customHeight="1" x14ac:dyDescent="0.2">
      <c r="B300" s="16"/>
      <c r="C300" s="16"/>
      <c r="D300" s="16"/>
      <c r="E300" s="16"/>
      <c r="F300" s="16"/>
      <c r="G300" s="16"/>
      <c r="H300" s="21" t="s">
        <v>378</v>
      </c>
      <c r="I300" s="18"/>
      <c r="J300" s="22" t="s">
        <v>203</v>
      </c>
      <c r="K300" s="157">
        <f>+K301</f>
        <v>124184943</v>
      </c>
      <c r="L300" s="157">
        <f t="shared" ref="L300:M300" si="116">+L301</f>
        <v>0</v>
      </c>
      <c r="M300" s="157">
        <f t="shared" si="116"/>
        <v>124184943</v>
      </c>
    </row>
    <row r="301" spans="2:13" ht="30" customHeight="1" x14ac:dyDescent="0.2">
      <c r="B301" s="16" t="s">
        <v>1002</v>
      </c>
      <c r="C301" s="16" t="s">
        <v>1006</v>
      </c>
      <c r="D301" s="16" t="s">
        <v>1046</v>
      </c>
      <c r="E301" s="16" t="s">
        <v>1021</v>
      </c>
      <c r="F301" s="16" t="s">
        <v>1022</v>
      </c>
      <c r="G301" s="16" t="s">
        <v>1025</v>
      </c>
      <c r="H301" s="21" t="s">
        <v>379</v>
      </c>
      <c r="I301" s="18" t="str">
        <f>RIGHT(H301,4)</f>
        <v xml:space="preserve"> 150</v>
      </c>
      <c r="J301" s="22" t="s">
        <v>203</v>
      </c>
      <c r="K301" s="126">
        <f>+Tabla13[[#This Row],[PF TOTAL]]</f>
        <v>124184943</v>
      </c>
      <c r="L301" s="23"/>
      <c r="M301" s="126">
        <f>+Tabla134[[#This Row],[PF AJUSTE 1]]+Tabla134[[#This Row],[AJUSTE 2]]</f>
        <v>124184943</v>
      </c>
    </row>
    <row r="302" spans="2:13" ht="30" customHeight="1" x14ac:dyDescent="0.2">
      <c r="B302" s="16"/>
      <c r="C302" s="16"/>
      <c r="D302" s="16"/>
      <c r="E302" s="16"/>
      <c r="F302" s="16"/>
      <c r="G302" s="16"/>
      <c r="H302" s="21" t="s">
        <v>380</v>
      </c>
      <c r="I302" s="18"/>
      <c r="J302" s="22" t="s">
        <v>207</v>
      </c>
      <c r="K302" s="157">
        <f>+K303</f>
        <v>51060175</v>
      </c>
      <c r="L302" s="157">
        <f t="shared" ref="L302:M302" si="117">+L303</f>
        <v>0</v>
      </c>
      <c r="M302" s="157">
        <f t="shared" si="117"/>
        <v>51060175</v>
      </c>
    </row>
    <row r="303" spans="2:13" ht="30" customHeight="1" x14ac:dyDescent="0.2">
      <c r="B303" s="16" t="s">
        <v>1002</v>
      </c>
      <c r="C303" s="16" t="s">
        <v>1006</v>
      </c>
      <c r="D303" s="16" t="s">
        <v>1046</v>
      </c>
      <c r="E303" s="16" t="s">
        <v>1021</v>
      </c>
      <c r="F303" s="16" t="s">
        <v>1022</v>
      </c>
      <c r="G303" s="16" t="s">
        <v>1025</v>
      </c>
      <c r="H303" s="21" t="s">
        <v>381</v>
      </c>
      <c r="I303" s="18" t="str">
        <f>RIGHT(H303,4)</f>
        <v xml:space="preserve"> 150</v>
      </c>
      <c r="J303" s="22" t="s">
        <v>207</v>
      </c>
      <c r="K303" s="126">
        <f>+Tabla13[[#This Row],[PF TOTAL]]</f>
        <v>51060175</v>
      </c>
      <c r="L303" s="23"/>
      <c r="M303" s="126">
        <f>+Tabla134[[#This Row],[PF AJUSTE 1]]+Tabla134[[#This Row],[AJUSTE 2]]</f>
        <v>51060175</v>
      </c>
    </row>
    <row r="304" spans="2:13" ht="15" customHeight="1" x14ac:dyDescent="0.2">
      <c r="B304" s="16"/>
      <c r="C304" s="16"/>
      <c r="D304" s="16"/>
      <c r="E304" s="16"/>
      <c r="F304" s="16"/>
      <c r="G304" s="16"/>
      <c r="H304" s="21" t="s">
        <v>382</v>
      </c>
      <c r="I304" s="18"/>
      <c r="J304" s="22" t="s">
        <v>211</v>
      </c>
      <c r="K304" s="157">
        <f>+K305</f>
        <v>3007346630</v>
      </c>
      <c r="L304" s="157">
        <f t="shared" ref="L304:M304" si="118">+L305</f>
        <v>0</v>
      </c>
      <c r="M304" s="157">
        <f t="shared" si="118"/>
        <v>3007346630</v>
      </c>
    </row>
    <row r="305" spans="2:13" ht="15" customHeight="1" x14ac:dyDescent="0.2">
      <c r="B305" s="16"/>
      <c r="C305" s="16"/>
      <c r="D305" s="16"/>
      <c r="E305" s="16"/>
      <c r="F305" s="16"/>
      <c r="G305" s="16"/>
      <c r="H305" s="21" t="s">
        <v>383</v>
      </c>
      <c r="I305" s="18"/>
      <c r="J305" s="22" t="s">
        <v>213</v>
      </c>
      <c r="K305" s="157">
        <f>+K306+K308</f>
        <v>3007346630</v>
      </c>
      <c r="L305" s="157">
        <f t="shared" ref="L305:M305" si="119">+L306+L308</f>
        <v>0</v>
      </c>
      <c r="M305" s="157">
        <f t="shared" si="119"/>
        <v>3007346630</v>
      </c>
    </row>
    <row r="306" spans="2:13" ht="30" customHeight="1" x14ac:dyDescent="0.2">
      <c r="B306" s="16"/>
      <c r="C306" s="16"/>
      <c r="D306" s="16"/>
      <c r="E306" s="16"/>
      <c r="F306" s="16"/>
      <c r="G306" s="16"/>
      <c r="H306" s="21" t="s">
        <v>384</v>
      </c>
      <c r="I306" s="18"/>
      <c r="J306" s="22" t="s">
        <v>215</v>
      </c>
      <c r="K306" s="157">
        <f>+K307</f>
        <v>1995824348</v>
      </c>
      <c r="L306" s="157">
        <f t="shared" ref="L306:M306" si="120">+L307</f>
        <v>0</v>
      </c>
      <c r="M306" s="157">
        <f t="shared" si="120"/>
        <v>1995824348</v>
      </c>
    </row>
    <row r="307" spans="2:13" ht="30" customHeight="1" x14ac:dyDescent="0.2">
      <c r="B307" s="16" t="s">
        <v>1002</v>
      </c>
      <c r="C307" s="16" t="s">
        <v>1006</v>
      </c>
      <c r="D307" s="16" t="s">
        <v>1046</v>
      </c>
      <c r="E307" s="16" t="s">
        <v>1021</v>
      </c>
      <c r="F307" s="16" t="s">
        <v>1022</v>
      </c>
      <c r="G307" s="16" t="s">
        <v>1025</v>
      </c>
      <c r="H307" s="21" t="s">
        <v>385</v>
      </c>
      <c r="I307" s="18" t="str">
        <f>RIGHT(H307,4)</f>
        <v xml:space="preserve"> 150</v>
      </c>
      <c r="J307" s="22" t="s">
        <v>215</v>
      </c>
      <c r="K307" s="126">
        <f>+Tabla13[[#This Row],[PF TOTAL]]</f>
        <v>1995824348</v>
      </c>
      <c r="L307" s="23"/>
      <c r="M307" s="126">
        <f>+Tabla134[[#This Row],[PF AJUSTE 1]]+Tabla134[[#This Row],[AJUSTE 2]]</f>
        <v>1995824348</v>
      </c>
    </row>
    <row r="308" spans="2:13" ht="30" customHeight="1" x14ac:dyDescent="0.2">
      <c r="B308" s="16"/>
      <c r="C308" s="16"/>
      <c r="D308" s="16"/>
      <c r="E308" s="16"/>
      <c r="F308" s="16"/>
      <c r="G308" s="16"/>
      <c r="H308" s="21" t="s">
        <v>386</v>
      </c>
      <c r="I308" s="18"/>
      <c r="J308" s="22" t="s">
        <v>219</v>
      </c>
      <c r="K308" s="157">
        <f>+K309</f>
        <v>1011522282</v>
      </c>
      <c r="L308" s="157">
        <f t="shared" ref="L308:M309" si="121">+L309</f>
        <v>0</v>
      </c>
      <c r="M308" s="157">
        <f t="shared" si="121"/>
        <v>1011522282</v>
      </c>
    </row>
    <row r="309" spans="2:13" ht="30" customHeight="1" x14ac:dyDescent="0.2">
      <c r="B309" s="16"/>
      <c r="C309" s="16"/>
      <c r="D309" s="16"/>
      <c r="E309" s="16"/>
      <c r="F309" s="16"/>
      <c r="G309" s="16"/>
      <c r="H309" s="21" t="s">
        <v>387</v>
      </c>
      <c r="I309" s="18"/>
      <c r="J309" s="22" t="s">
        <v>221</v>
      </c>
      <c r="K309" s="157">
        <f>+K310</f>
        <v>1011522282</v>
      </c>
      <c r="L309" s="157">
        <f t="shared" si="121"/>
        <v>0</v>
      </c>
      <c r="M309" s="157">
        <f t="shared" si="121"/>
        <v>1011522282</v>
      </c>
    </row>
    <row r="310" spans="2:13" ht="30" customHeight="1" x14ac:dyDescent="0.2">
      <c r="B310" s="16" t="s">
        <v>1002</v>
      </c>
      <c r="C310" s="16" t="s">
        <v>1006</v>
      </c>
      <c r="D310" s="16" t="s">
        <v>1046</v>
      </c>
      <c r="E310" s="16" t="s">
        <v>1021</v>
      </c>
      <c r="F310" s="16" t="s">
        <v>1022</v>
      </c>
      <c r="G310" s="16" t="s">
        <v>1025</v>
      </c>
      <c r="H310" s="21" t="s">
        <v>388</v>
      </c>
      <c r="I310" s="18" t="str">
        <f>RIGHT(H310,4)</f>
        <v xml:space="preserve"> 150</v>
      </c>
      <c r="J310" s="22" t="s">
        <v>221</v>
      </c>
      <c r="K310" s="126">
        <f>+Tabla13[[#This Row],[PF TOTAL]]</f>
        <v>1011522282</v>
      </c>
      <c r="L310" s="23"/>
      <c r="M310" s="126">
        <f>+Tabla134[[#This Row],[PF AJUSTE 1]]+Tabla134[[#This Row],[AJUSTE 2]]</f>
        <v>1011522282</v>
      </c>
    </row>
    <row r="311" spans="2:13" s="13" customFormat="1" ht="15.75" customHeight="1" x14ac:dyDescent="0.25">
      <c r="B311" s="24"/>
      <c r="C311" s="24"/>
      <c r="D311" s="24"/>
      <c r="E311" s="24"/>
      <c r="F311" s="24"/>
      <c r="G311" s="24"/>
      <c r="H311" s="17" t="s">
        <v>389</v>
      </c>
      <c r="I311" s="18"/>
      <c r="J311" s="19" t="s">
        <v>225</v>
      </c>
      <c r="K311" s="156">
        <f>+K312+K318+K321</f>
        <v>0</v>
      </c>
      <c r="L311" s="156">
        <f t="shared" ref="L311:M311" si="122">+L312+L318+L321</f>
        <v>0</v>
      </c>
      <c r="M311" s="156">
        <f t="shared" si="122"/>
        <v>0</v>
      </c>
    </row>
    <row r="312" spans="2:13" s="13" customFormat="1" ht="15.75" customHeight="1" x14ac:dyDescent="0.25">
      <c r="B312" s="24"/>
      <c r="C312" s="24"/>
      <c r="D312" s="24"/>
      <c r="E312" s="24"/>
      <c r="F312" s="24"/>
      <c r="G312" s="24"/>
      <c r="H312" s="17" t="s">
        <v>390</v>
      </c>
      <c r="I312" s="18"/>
      <c r="J312" s="19" t="s">
        <v>239</v>
      </c>
      <c r="K312" s="156">
        <v>0</v>
      </c>
      <c r="L312" s="156">
        <v>0</v>
      </c>
      <c r="M312" s="156">
        <v>0</v>
      </c>
    </row>
    <row r="313" spans="2:13" s="13" customFormat="1" ht="15.75" customHeight="1" x14ac:dyDescent="0.25">
      <c r="B313" s="24"/>
      <c r="C313" s="24"/>
      <c r="D313" s="24"/>
      <c r="E313" s="24"/>
      <c r="F313" s="24"/>
      <c r="G313" s="24"/>
      <c r="H313" s="17" t="s">
        <v>391</v>
      </c>
      <c r="I313" s="18"/>
      <c r="J313" s="19" t="s">
        <v>241</v>
      </c>
      <c r="K313" s="156">
        <f>SUM(K314:K317)</f>
        <v>0</v>
      </c>
      <c r="L313" s="156">
        <f t="shared" ref="L313:M313" si="123">SUM(L314:L317)</f>
        <v>0</v>
      </c>
      <c r="M313" s="156">
        <f t="shared" si="123"/>
        <v>0</v>
      </c>
    </row>
    <row r="314" spans="2:13" ht="15" customHeight="1" x14ac:dyDescent="0.2">
      <c r="B314" s="16" t="s">
        <v>1002</v>
      </c>
      <c r="C314" s="16" t="s">
        <v>1006</v>
      </c>
      <c r="D314" s="16" t="s">
        <v>1046</v>
      </c>
      <c r="E314" s="16" t="s">
        <v>1021</v>
      </c>
      <c r="F314" s="16" t="s">
        <v>1023</v>
      </c>
      <c r="G314" s="16" t="s">
        <v>1028</v>
      </c>
      <c r="H314" s="21" t="s">
        <v>392</v>
      </c>
      <c r="I314" s="18" t="str">
        <f>RIGHT(H314,4)</f>
        <v>150F</v>
      </c>
      <c r="J314" s="22" t="s">
        <v>241</v>
      </c>
      <c r="K314" s="126">
        <f>+Tabla13[[#This Row],[PF TOTAL]]</f>
        <v>0</v>
      </c>
      <c r="L314" s="23"/>
      <c r="M314" s="126">
        <f>+Tabla134[[#This Row],[PF AJUSTE 1]]+Tabla134[[#This Row],[AJUSTE 2]]</f>
        <v>0</v>
      </c>
    </row>
    <row r="315" spans="2:13" ht="15" customHeight="1" x14ac:dyDescent="0.2">
      <c r="B315" s="16" t="s">
        <v>1002</v>
      </c>
      <c r="C315" s="16" t="s">
        <v>1006</v>
      </c>
      <c r="D315" s="16" t="s">
        <v>1046</v>
      </c>
      <c r="E315" s="16" t="s">
        <v>1021</v>
      </c>
      <c r="F315" s="16" t="s">
        <v>1023</v>
      </c>
      <c r="G315" s="16" t="s">
        <v>1028</v>
      </c>
      <c r="H315" s="21" t="s">
        <v>393</v>
      </c>
      <c r="I315" s="18" t="str">
        <f>RIGHT(H315,4)</f>
        <v xml:space="preserve"> 29F</v>
      </c>
      <c r="J315" s="22" t="s">
        <v>241</v>
      </c>
      <c r="K315" s="126">
        <f>+Tabla13[[#This Row],[PF TOTAL]]</f>
        <v>0</v>
      </c>
      <c r="L315" s="23"/>
      <c r="M315" s="126">
        <f>+Tabla134[[#This Row],[PF AJUSTE 1]]+Tabla134[[#This Row],[AJUSTE 2]]</f>
        <v>0</v>
      </c>
    </row>
    <row r="316" spans="2:13" ht="15" customHeight="1" x14ac:dyDescent="0.2">
      <c r="B316" s="16" t="s">
        <v>1002</v>
      </c>
      <c r="C316" s="16" t="s">
        <v>1006</v>
      </c>
      <c r="D316" s="16" t="s">
        <v>1046</v>
      </c>
      <c r="E316" s="16" t="s">
        <v>1021</v>
      </c>
      <c r="F316" s="16" t="s">
        <v>1023</v>
      </c>
      <c r="G316" s="16" t="s">
        <v>1028</v>
      </c>
      <c r="H316" s="21" t="s">
        <v>394</v>
      </c>
      <c r="I316" s="18" t="str">
        <f>RIGHT(H316,4)</f>
        <v xml:space="preserve"> 70F</v>
      </c>
      <c r="J316" s="22" t="s">
        <v>241</v>
      </c>
      <c r="K316" s="126">
        <f>+Tabla13[[#This Row],[PF TOTAL]]</f>
        <v>0</v>
      </c>
      <c r="L316" s="23"/>
      <c r="M316" s="126">
        <f>+Tabla134[[#This Row],[PF AJUSTE 1]]+Tabla134[[#This Row],[AJUSTE 2]]</f>
        <v>0</v>
      </c>
    </row>
    <row r="317" spans="2:13" ht="15" customHeight="1" x14ac:dyDescent="0.2">
      <c r="B317" s="16" t="s">
        <v>1002</v>
      </c>
      <c r="C317" s="16" t="s">
        <v>1006</v>
      </c>
      <c r="D317" s="16" t="s">
        <v>1046</v>
      </c>
      <c r="E317" s="16" t="s">
        <v>1021</v>
      </c>
      <c r="F317" s="16" t="s">
        <v>1023</v>
      </c>
      <c r="G317" s="16" t="s">
        <v>1028</v>
      </c>
      <c r="H317" s="21" t="s">
        <v>395</v>
      </c>
      <c r="I317" s="18" t="str">
        <f>RIGHT(H317,4)</f>
        <v xml:space="preserve"> 71F</v>
      </c>
      <c r="J317" s="22" t="s">
        <v>241</v>
      </c>
      <c r="K317" s="126">
        <f>+Tabla13[[#This Row],[PF TOTAL]]</f>
        <v>0</v>
      </c>
      <c r="L317" s="23"/>
      <c r="M317" s="126">
        <f>+Tabla134[[#This Row],[PF AJUSTE 1]]+Tabla134[[#This Row],[AJUSTE 2]]</f>
        <v>0</v>
      </c>
    </row>
    <row r="318" spans="2:13" s="13" customFormat="1" ht="15.75" customHeight="1" x14ac:dyDescent="0.25">
      <c r="B318" s="24"/>
      <c r="C318" s="24"/>
      <c r="D318" s="24"/>
      <c r="E318" s="24"/>
      <c r="F318" s="24"/>
      <c r="G318" s="24"/>
      <c r="H318" s="17" t="s">
        <v>396</v>
      </c>
      <c r="I318" s="18"/>
      <c r="J318" s="19" t="s">
        <v>267</v>
      </c>
      <c r="K318" s="156">
        <f>+K319</f>
        <v>0</v>
      </c>
      <c r="L318" s="156">
        <f t="shared" ref="L318:M319" si="124">+L319</f>
        <v>0</v>
      </c>
      <c r="M318" s="156">
        <f t="shared" si="124"/>
        <v>0</v>
      </c>
    </row>
    <row r="319" spans="2:13" s="13" customFormat="1" ht="15.75" customHeight="1" x14ac:dyDescent="0.25">
      <c r="B319" s="24"/>
      <c r="C319" s="24"/>
      <c r="D319" s="24"/>
      <c r="E319" s="24"/>
      <c r="F319" s="24"/>
      <c r="G319" s="24"/>
      <c r="H319" s="17" t="s">
        <v>397</v>
      </c>
      <c r="I319" s="18"/>
      <c r="J319" s="19" t="s">
        <v>271</v>
      </c>
      <c r="K319" s="156">
        <f>+K320</f>
        <v>0</v>
      </c>
      <c r="L319" s="156">
        <f t="shared" si="124"/>
        <v>0</v>
      </c>
      <c r="M319" s="156">
        <f t="shared" si="124"/>
        <v>0</v>
      </c>
    </row>
    <row r="320" spans="2:13" ht="15" customHeight="1" x14ac:dyDescent="0.2">
      <c r="B320" s="16" t="s">
        <v>1002</v>
      </c>
      <c r="C320" s="16" t="s">
        <v>1006</v>
      </c>
      <c r="D320" s="16" t="s">
        <v>1046</v>
      </c>
      <c r="E320" s="16" t="s">
        <v>1021</v>
      </c>
      <c r="F320" s="16" t="s">
        <v>1023</v>
      </c>
      <c r="G320" s="16" t="s">
        <v>1030</v>
      </c>
      <c r="H320" s="21" t="s">
        <v>398</v>
      </c>
      <c r="I320" s="18" t="str">
        <f>RIGHT(H320,4)</f>
        <v>34RB</v>
      </c>
      <c r="J320" s="22" t="s">
        <v>271</v>
      </c>
      <c r="K320" s="126">
        <f>+Tabla13[[#This Row],[PF TOTAL]]</f>
        <v>0</v>
      </c>
      <c r="L320" s="23"/>
      <c r="M320" s="126">
        <f>+Tabla134[[#This Row],[PF AJUSTE 1]]+Tabla134[[#This Row],[AJUSTE 2]]</f>
        <v>0</v>
      </c>
    </row>
    <row r="321" spans="2:13" s="13" customFormat="1" ht="15.75" customHeight="1" x14ac:dyDescent="0.25">
      <c r="B321" s="24"/>
      <c r="C321" s="24"/>
      <c r="D321" s="24"/>
      <c r="E321" s="24"/>
      <c r="F321" s="24"/>
      <c r="G321" s="24"/>
      <c r="H321" s="17" t="s">
        <v>399</v>
      </c>
      <c r="I321" s="18"/>
      <c r="J321" s="19" t="s">
        <v>273</v>
      </c>
      <c r="K321" s="156">
        <f>+K322</f>
        <v>0</v>
      </c>
      <c r="L321" s="156">
        <f t="shared" ref="L321:M322" si="125">+L322</f>
        <v>0</v>
      </c>
      <c r="M321" s="156">
        <f t="shared" si="125"/>
        <v>0</v>
      </c>
    </row>
    <row r="322" spans="2:13" s="13" customFormat="1" ht="15.75" customHeight="1" x14ac:dyDescent="0.25">
      <c r="B322" s="24"/>
      <c r="C322" s="24"/>
      <c r="D322" s="24"/>
      <c r="E322" s="24"/>
      <c r="F322" s="24"/>
      <c r="G322" s="24"/>
      <c r="H322" s="17" t="s">
        <v>400</v>
      </c>
      <c r="I322" s="18"/>
      <c r="J322" s="19" t="s">
        <v>275</v>
      </c>
      <c r="K322" s="156">
        <f>+K323</f>
        <v>0</v>
      </c>
      <c r="L322" s="156">
        <f t="shared" si="125"/>
        <v>0</v>
      </c>
      <c r="M322" s="156">
        <f t="shared" si="125"/>
        <v>0</v>
      </c>
    </row>
    <row r="323" spans="2:13" ht="15" customHeight="1" x14ac:dyDescent="0.2">
      <c r="B323" s="16" t="s">
        <v>1002</v>
      </c>
      <c r="C323" s="16" t="s">
        <v>1006</v>
      </c>
      <c r="D323" s="16" t="s">
        <v>1046</v>
      </c>
      <c r="E323" s="16" t="s">
        <v>1021</v>
      </c>
      <c r="F323" s="16" t="s">
        <v>1023</v>
      </c>
      <c r="G323" s="16" t="s">
        <v>1031</v>
      </c>
      <c r="H323" s="21" t="s">
        <v>729</v>
      </c>
      <c r="I323" s="18" t="str">
        <f>RIGHT(H323,4)</f>
        <v>- 70</v>
      </c>
      <c r="J323" s="22" t="s">
        <v>275</v>
      </c>
      <c r="K323" s="126">
        <f>+Tabla13[[#This Row],[PF TOTAL]]</f>
        <v>0</v>
      </c>
      <c r="L323" s="23"/>
      <c r="M323" s="126">
        <f>+Tabla134[[#This Row],[PF AJUSTE 1]]+Tabla134[[#This Row],[AJUSTE 2]]</f>
        <v>0</v>
      </c>
    </row>
    <row r="324" spans="2:13" ht="15.75" customHeight="1" x14ac:dyDescent="0.25">
      <c r="B324" s="16"/>
      <c r="C324" s="16"/>
      <c r="D324" s="16"/>
      <c r="E324" s="16"/>
      <c r="F324" s="16"/>
      <c r="G324" s="16"/>
      <c r="H324" s="37" t="s">
        <v>788</v>
      </c>
      <c r="I324" s="38"/>
      <c r="J324" s="19" t="s">
        <v>789</v>
      </c>
      <c r="K324" s="156">
        <f>+K325</f>
        <v>21611875646</v>
      </c>
      <c r="L324" s="156">
        <f t="shared" ref="L324:M324" si="126">+L325</f>
        <v>0</v>
      </c>
      <c r="M324" s="156">
        <f t="shared" si="126"/>
        <v>21611875646</v>
      </c>
    </row>
    <row r="325" spans="2:13" s="13" customFormat="1" ht="15.75" customHeight="1" x14ac:dyDescent="0.25">
      <c r="B325" s="24"/>
      <c r="C325" s="24"/>
      <c r="D325" s="24"/>
      <c r="E325" s="24"/>
      <c r="F325" s="24"/>
      <c r="G325" s="24"/>
      <c r="H325" s="17" t="s">
        <v>401</v>
      </c>
      <c r="I325" s="18"/>
      <c r="J325" s="19" t="s">
        <v>1</v>
      </c>
      <c r="K325" s="156">
        <f>+K326+K352</f>
        <v>21611875646</v>
      </c>
      <c r="L325" s="156">
        <f t="shared" ref="L325:M325" si="127">+L326+L352</f>
        <v>0</v>
      </c>
      <c r="M325" s="156">
        <f t="shared" si="127"/>
        <v>21611875646</v>
      </c>
    </row>
    <row r="326" spans="2:13" s="13" customFormat="1" ht="15.75" customHeight="1" x14ac:dyDescent="0.25">
      <c r="B326" s="24"/>
      <c r="C326" s="24"/>
      <c r="D326" s="24"/>
      <c r="E326" s="24"/>
      <c r="F326" s="24"/>
      <c r="G326" s="24"/>
      <c r="H326" s="17" t="s">
        <v>402</v>
      </c>
      <c r="I326" s="18"/>
      <c r="J326" s="19" t="s">
        <v>3</v>
      </c>
      <c r="K326" s="156">
        <f>+K327+K337</f>
        <v>21611875646</v>
      </c>
      <c r="L326" s="156">
        <f t="shared" ref="L326:M326" si="128">+L327+L337</f>
        <v>0</v>
      </c>
      <c r="M326" s="156">
        <f t="shared" si="128"/>
        <v>21611875646</v>
      </c>
    </row>
    <row r="327" spans="2:13" s="13" customFormat="1" ht="15.75" customHeight="1" x14ac:dyDescent="0.25">
      <c r="B327" s="24"/>
      <c r="C327" s="24"/>
      <c r="D327" s="24"/>
      <c r="E327" s="24"/>
      <c r="F327" s="24"/>
      <c r="G327" s="24"/>
      <c r="H327" s="17" t="s">
        <v>403</v>
      </c>
      <c r="I327" s="18"/>
      <c r="J327" s="19" t="s">
        <v>5</v>
      </c>
      <c r="K327" s="156">
        <f>+K328+K331</f>
        <v>20745538145</v>
      </c>
      <c r="L327" s="156">
        <f t="shared" ref="L327:M327" si="129">+L328+L331</f>
        <v>0</v>
      </c>
      <c r="M327" s="156">
        <f t="shared" si="129"/>
        <v>20745538145</v>
      </c>
    </row>
    <row r="328" spans="2:13" s="13" customFormat="1" ht="15.75" customHeight="1" x14ac:dyDescent="0.25">
      <c r="B328" s="24"/>
      <c r="C328" s="24"/>
      <c r="D328" s="24"/>
      <c r="E328" s="24"/>
      <c r="F328" s="24"/>
      <c r="G328" s="24"/>
      <c r="H328" s="17" t="s">
        <v>404</v>
      </c>
      <c r="I328" s="18"/>
      <c r="J328" s="19" t="s">
        <v>7</v>
      </c>
      <c r="K328" s="156">
        <f>+K329</f>
        <v>61398005</v>
      </c>
      <c r="L328" s="156">
        <f t="shared" ref="L328:M329" si="130">+L329</f>
        <v>0</v>
      </c>
      <c r="M328" s="156">
        <f t="shared" si="130"/>
        <v>61398005</v>
      </c>
    </row>
    <row r="329" spans="2:13" ht="15" customHeight="1" x14ac:dyDescent="0.25">
      <c r="B329" s="16"/>
      <c r="C329" s="16"/>
      <c r="D329" s="16"/>
      <c r="E329" s="16"/>
      <c r="F329" s="16"/>
      <c r="G329" s="16"/>
      <c r="H329" s="21" t="s">
        <v>405</v>
      </c>
      <c r="I329" s="18"/>
      <c r="J329" s="22" t="s">
        <v>331</v>
      </c>
      <c r="K329" s="156">
        <f>+K330</f>
        <v>61398005</v>
      </c>
      <c r="L329" s="156">
        <f t="shared" si="130"/>
        <v>0</v>
      </c>
      <c r="M329" s="156">
        <f t="shared" si="130"/>
        <v>61398005</v>
      </c>
    </row>
    <row r="330" spans="2:13" ht="15" customHeight="1" x14ac:dyDescent="0.2">
      <c r="B330" s="16" t="s">
        <v>1002</v>
      </c>
      <c r="C330" s="16" t="s">
        <v>1006</v>
      </c>
      <c r="D330" s="16" t="s">
        <v>1047</v>
      </c>
      <c r="E330" s="16" t="s">
        <v>1021</v>
      </c>
      <c r="F330" s="16" t="s">
        <v>1022</v>
      </c>
      <c r="G330" s="16" t="s">
        <v>1024</v>
      </c>
      <c r="H330" s="21" t="s">
        <v>406</v>
      </c>
      <c r="I330" s="18" t="str">
        <f>RIGHT(H330,4)</f>
        <v>- 71</v>
      </c>
      <c r="J330" s="22" t="s">
        <v>331</v>
      </c>
      <c r="K330" s="126">
        <f>+Tabla13[[#This Row],[PF TOTAL]]</f>
        <v>61398005</v>
      </c>
      <c r="L330" s="23"/>
      <c r="M330" s="126">
        <f>+Tabla134[[#This Row],[PF AJUSTE 1]]+Tabla134[[#This Row],[AJUSTE 2]]</f>
        <v>61398005</v>
      </c>
    </row>
    <row r="331" spans="2:13" s="13" customFormat="1" ht="15.75" customHeight="1" x14ac:dyDescent="0.25">
      <c r="B331" s="24"/>
      <c r="C331" s="24"/>
      <c r="D331" s="24"/>
      <c r="E331" s="24"/>
      <c r="F331" s="24"/>
      <c r="G331" s="24"/>
      <c r="H331" s="17" t="s">
        <v>407</v>
      </c>
      <c r="I331" s="18"/>
      <c r="J331" s="19" t="s">
        <v>14</v>
      </c>
      <c r="K331" s="156">
        <f>+K332+K335</f>
        <v>20684140140</v>
      </c>
      <c r="L331" s="156">
        <f t="shared" ref="L331:M331" si="131">+L332+L335</f>
        <v>0</v>
      </c>
      <c r="M331" s="156">
        <f t="shared" si="131"/>
        <v>20684140140</v>
      </c>
    </row>
    <row r="332" spans="2:13" ht="15" customHeight="1" x14ac:dyDescent="0.2">
      <c r="B332" s="16"/>
      <c r="C332" s="16"/>
      <c r="D332" s="16"/>
      <c r="E332" s="16"/>
      <c r="F332" s="16"/>
      <c r="G332" s="16"/>
      <c r="H332" s="21" t="s">
        <v>408</v>
      </c>
      <c r="I332" s="18"/>
      <c r="J332" s="22" t="s">
        <v>335</v>
      </c>
      <c r="K332" s="157">
        <f>+K333+K334</f>
        <v>115400854</v>
      </c>
      <c r="L332" s="157">
        <f t="shared" ref="L332:M332" si="132">+L333+L334</f>
        <v>0</v>
      </c>
      <c r="M332" s="157">
        <f t="shared" si="132"/>
        <v>115400854</v>
      </c>
    </row>
    <row r="333" spans="2:13" ht="15" customHeight="1" x14ac:dyDescent="0.2">
      <c r="B333" s="16" t="s">
        <v>1002</v>
      </c>
      <c r="C333" s="16" t="s">
        <v>1006</v>
      </c>
      <c r="D333" s="16" t="s">
        <v>1047</v>
      </c>
      <c r="E333" s="16" t="s">
        <v>1021</v>
      </c>
      <c r="F333" s="16" t="s">
        <v>1022</v>
      </c>
      <c r="G333" s="16" t="s">
        <v>1025</v>
      </c>
      <c r="H333" s="21" t="s">
        <v>409</v>
      </c>
      <c r="I333" s="18" t="str">
        <f>RIGHT(H333,4)</f>
        <v>- 72</v>
      </c>
      <c r="J333" s="22" t="s">
        <v>335</v>
      </c>
      <c r="K333" s="126">
        <f>+Tabla13[[#This Row],[PF TOTAL]]</f>
        <v>34815216</v>
      </c>
      <c r="L333" s="23"/>
      <c r="M333" s="126">
        <f>+Tabla134[[#This Row],[PF AJUSTE 1]]+Tabla134[[#This Row],[AJUSTE 2]]</f>
        <v>34815216</v>
      </c>
    </row>
    <row r="334" spans="2:13" ht="15" customHeight="1" x14ac:dyDescent="0.2">
      <c r="B334" s="16" t="s">
        <v>1002</v>
      </c>
      <c r="C334" s="16" t="s">
        <v>1006</v>
      </c>
      <c r="D334" s="16" t="s">
        <v>1047</v>
      </c>
      <c r="E334" s="16" t="s">
        <v>1021</v>
      </c>
      <c r="F334" s="16" t="s">
        <v>1022</v>
      </c>
      <c r="G334" s="16" t="s">
        <v>1025</v>
      </c>
      <c r="H334" s="21" t="s">
        <v>410</v>
      </c>
      <c r="I334" s="18" t="str">
        <f>RIGHT(H334,4)</f>
        <v xml:space="preserve"> 72A</v>
      </c>
      <c r="J334" s="22" t="s">
        <v>335</v>
      </c>
      <c r="K334" s="126">
        <f>+Tabla13[[#This Row],[PF TOTAL]]</f>
        <v>80585638</v>
      </c>
      <c r="L334" s="23"/>
      <c r="M334" s="126">
        <f>+Tabla134[[#This Row],[PF AJUSTE 1]]+Tabla134[[#This Row],[AJUSTE 2]]</f>
        <v>80585638</v>
      </c>
    </row>
    <row r="335" spans="2:13" ht="15" customHeight="1" x14ac:dyDescent="0.2">
      <c r="B335" s="16"/>
      <c r="C335" s="16"/>
      <c r="D335" s="16"/>
      <c r="E335" s="16"/>
      <c r="F335" s="16"/>
      <c r="G335" s="16"/>
      <c r="H335" s="21" t="s">
        <v>411</v>
      </c>
      <c r="I335" s="18"/>
      <c r="J335" s="22" t="s">
        <v>72</v>
      </c>
      <c r="K335" s="157">
        <f>+K336</f>
        <v>20568739286</v>
      </c>
      <c r="L335" s="157">
        <f t="shared" ref="L335:M335" si="133">+L336</f>
        <v>0</v>
      </c>
      <c r="M335" s="157">
        <f t="shared" si="133"/>
        <v>20568739286</v>
      </c>
    </row>
    <row r="336" spans="2:13" ht="30" customHeight="1" x14ac:dyDescent="0.2">
      <c r="B336" s="16" t="s">
        <v>1002</v>
      </c>
      <c r="C336" s="16" t="s">
        <v>1006</v>
      </c>
      <c r="D336" s="16" t="s">
        <v>1047</v>
      </c>
      <c r="E336" s="16" t="s">
        <v>1016</v>
      </c>
      <c r="F336" s="16" t="s">
        <v>1022</v>
      </c>
      <c r="G336" s="16" t="s">
        <v>1025</v>
      </c>
      <c r="H336" s="21" t="s">
        <v>412</v>
      </c>
      <c r="I336" s="18" t="str">
        <f>RIGHT(H336,4)</f>
        <v>- 84</v>
      </c>
      <c r="J336" s="22" t="s">
        <v>790</v>
      </c>
      <c r="K336" s="126">
        <f>+Tabla13[[#This Row],[PF TOTAL]]</f>
        <v>20568739286</v>
      </c>
      <c r="L336" s="23"/>
      <c r="M336" s="126">
        <f>+Tabla134[[#This Row],[PF AJUSTE 1]]+Tabla134[[#This Row],[AJUSTE 2]]</f>
        <v>20568739286</v>
      </c>
    </row>
    <row r="337" spans="2:13" s="13" customFormat="1" ht="15.75" customHeight="1" x14ac:dyDescent="0.25">
      <c r="B337" s="24"/>
      <c r="C337" s="24"/>
      <c r="D337" s="24"/>
      <c r="E337" s="24"/>
      <c r="F337" s="24"/>
      <c r="G337" s="24"/>
      <c r="H337" s="17" t="s">
        <v>413</v>
      </c>
      <c r="I337" s="18"/>
      <c r="J337" s="19" t="s">
        <v>86</v>
      </c>
      <c r="K337" s="156">
        <f>+K338+K341+K345</f>
        <v>866337501</v>
      </c>
      <c r="L337" s="156">
        <f t="shared" ref="L337:M337" si="134">+L338+L341+L345</f>
        <v>0</v>
      </c>
      <c r="M337" s="156">
        <f t="shared" si="134"/>
        <v>866337501</v>
      </c>
    </row>
    <row r="338" spans="2:13" s="13" customFormat="1" ht="15.75" customHeight="1" x14ac:dyDescent="0.25">
      <c r="B338" s="24"/>
      <c r="C338" s="24"/>
      <c r="D338" s="24"/>
      <c r="E338" s="24"/>
      <c r="F338" s="24"/>
      <c r="G338" s="24"/>
      <c r="H338" s="17" t="s">
        <v>414</v>
      </c>
      <c r="I338" s="18"/>
      <c r="J338" s="19" t="s">
        <v>355</v>
      </c>
      <c r="K338" s="156">
        <f>+K339</f>
        <v>184320937</v>
      </c>
      <c r="L338" s="156">
        <f t="shared" ref="L338:M339" si="135">+L339</f>
        <v>0</v>
      </c>
      <c r="M338" s="156">
        <f t="shared" si="135"/>
        <v>184320937</v>
      </c>
    </row>
    <row r="339" spans="2:13" ht="15" customHeight="1" x14ac:dyDescent="0.2">
      <c r="B339" s="16"/>
      <c r="C339" s="16"/>
      <c r="D339" s="16"/>
      <c r="E339" s="16"/>
      <c r="F339" s="16"/>
      <c r="G339" s="16"/>
      <c r="H339" s="21" t="s">
        <v>415</v>
      </c>
      <c r="I339" s="18"/>
      <c r="J339" s="22" t="s">
        <v>416</v>
      </c>
      <c r="K339" s="157">
        <f>+K340</f>
        <v>184320937</v>
      </c>
      <c r="L339" s="157">
        <f t="shared" si="135"/>
        <v>0</v>
      </c>
      <c r="M339" s="157">
        <f t="shared" si="135"/>
        <v>184320937</v>
      </c>
    </row>
    <row r="340" spans="2:13" ht="15" customHeight="1" x14ac:dyDescent="0.2">
      <c r="B340" s="16" t="s">
        <v>1002</v>
      </c>
      <c r="C340" s="16" t="s">
        <v>1006</v>
      </c>
      <c r="D340" s="16" t="s">
        <v>1047</v>
      </c>
      <c r="E340" s="16" t="s">
        <v>1021</v>
      </c>
      <c r="F340" s="16" t="s">
        <v>1022</v>
      </c>
      <c r="G340" s="16" t="s">
        <v>1025</v>
      </c>
      <c r="H340" s="21" t="s">
        <v>417</v>
      </c>
      <c r="I340" s="18" t="str">
        <f>RIGHT(H340,4)</f>
        <v>- 41</v>
      </c>
      <c r="J340" s="22" t="s">
        <v>416</v>
      </c>
      <c r="K340" s="126">
        <f>+Tabla13[[#This Row],[PF TOTAL]]</f>
        <v>184320937</v>
      </c>
      <c r="L340" s="23"/>
      <c r="M340" s="126">
        <f>+Tabla134[[#This Row],[PF AJUSTE 1]]+Tabla134[[#This Row],[AJUSTE 2]]</f>
        <v>184320937</v>
      </c>
    </row>
    <row r="341" spans="2:13" s="13" customFormat="1" ht="15.75" customHeight="1" x14ac:dyDescent="0.25">
      <c r="B341" s="24"/>
      <c r="C341" s="24"/>
      <c r="D341" s="24"/>
      <c r="E341" s="24"/>
      <c r="F341" s="24"/>
      <c r="G341" s="24"/>
      <c r="H341" s="17" t="s">
        <v>418</v>
      </c>
      <c r="I341" s="18"/>
      <c r="J341" s="19" t="s">
        <v>164</v>
      </c>
      <c r="K341" s="156">
        <f>+K342</f>
        <v>0</v>
      </c>
      <c r="L341" s="156">
        <f t="shared" ref="L341:M343" si="136">+L342</f>
        <v>0</v>
      </c>
      <c r="M341" s="156">
        <f t="shared" si="136"/>
        <v>0</v>
      </c>
    </row>
    <row r="342" spans="2:13" ht="15" customHeight="1" x14ac:dyDescent="0.2">
      <c r="B342" s="16"/>
      <c r="C342" s="16"/>
      <c r="D342" s="16"/>
      <c r="E342" s="16"/>
      <c r="F342" s="16"/>
      <c r="G342" s="16"/>
      <c r="H342" s="21" t="s">
        <v>419</v>
      </c>
      <c r="I342" s="18"/>
      <c r="J342" s="22" t="s">
        <v>181</v>
      </c>
      <c r="K342" s="157">
        <f>+K343</f>
        <v>0</v>
      </c>
      <c r="L342" s="157">
        <f t="shared" si="136"/>
        <v>0</v>
      </c>
      <c r="M342" s="157">
        <f t="shared" si="136"/>
        <v>0</v>
      </c>
    </row>
    <row r="343" spans="2:13" ht="15" customHeight="1" x14ac:dyDescent="0.2">
      <c r="B343" s="16"/>
      <c r="C343" s="16"/>
      <c r="D343" s="16"/>
      <c r="E343" s="16"/>
      <c r="F343" s="16"/>
      <c r="G343" s="16"/>
      <c r="H343" s="21" t="s">
        <v>420</v>
      </c>
      <c r="I343" s="18"/>
      <c r="J343" s="22" t="s">
        <v>421</v>
      </c>
      <c r="K343" s="157">
        <f>+K344</f>
        <v>0</v>
      </c>
      <c r="L343" s="157">
        <f t="shared" si="136"/>
        <v>0</v>
      </c>
      <c r="M343" s="157">
        <f t="shared" si="136"/>
        <v>0</v>
      </c>
    </row>
    <row r="344" spans="2:13" ht="15" customHeight="1" x14ac:dyDescent="0.2">
      <c r="B344" s="16" t="s">
        <v>1002</v>
      </c>
      <c r="C344" s="16" t="s">
        <v>1006</v>
      </c>
      <c r="D344" s="16" t="s">
        <v>1047</v>
      </c>
      <c r="E344" s="16" t="s">
        <v>1021</v>
      </c>
      <c r="F344" s="16" t="s">
        <v>1022</v>
      </c>
      <c r="G344" s="16" t="s">
        <v>1025</v>
      </c>
      <c r="H344" s="21" t="s">
        <v>422</v>
      </c>
      <c r="I344" s="18" t="str">
        <f>RIGHT(H344,4)</f>
        <v xml:space="preserve"> 106</v>
      </c>
      <c r="J344" s="22" t="s">
        <v>423</v>
      </c>
      <c r="K344" s="126">
        <f>+Tabla13[[#This Row],[PF TOTAL]]</f>
        <v>0</v>
      </c>
      <c r="L344" s="23"/>
      <c r="M344" s="23"/>
    </row>
    <row r="345" spans="2:13" s="13" customFormat="1" ht="15.75" customHeight="1" x14ac:dyDescent="0.25">
      <c r="B345" s="24"/>
      <c r="C345" s="24"/>
      <c r="D345" s="24"/>
      <c r="E345" s="24"/>
      <c r="F345" s="24"/>
      <c r="G345" s="24"/>
      <c r="H345" s="17" t="s">
        <v>424</v>
      </c>
      <c r="I345" s="18"/>
      <c r="J345" s="19" t="s">
        <v>195</v>
      </c>
      <c r="K345" s="156">
        <f>+K346</f>
        <v>682016564</v>
      </c>
      <c r="L345" s="156">
        <f t="shared" ref="L345:M345" si="137">+L346</f>
        <v>0</v>
      </c>
      <c r="M345" s="156">
        <f t="shared" si="137"/>
        <v>682016564</v>
      </c>
    </row>
    <row r="346" spans="2:13" ht="15.75" customHeight="1" x14ac:dyDescent="0.25">
      <c r="B346" s="16"/>
      <c r="C346" s="16"/>
      <c r="D346" s="16"/>
      <c r="E346" s="16"/>
      <c r="F346" s="16"/>
      <c r="G346" s="16"/>
      <c r="H346" s="17" t="s">
        <v>425</v>
      </c>
      <c r="I346" s="18"/>
      <c r="J346" s="19" t="s">
        <v>362</v>
      </c>
      <c r="K346" s="156">
        <f>+K347+K350</f>
        <v>682016564</v>
      </c>
      <c r="L346" s="156">
        <f t="shared" ref="L346:M346" si="138">+L347+L350</f>
        <v>0</v>
      </c>
      <c r="M346" s="156">
        <f t="shared" si="138"/>
        <v>682016564</v>
      </c>
    </row>
    <row r="347" spans="2:13" ht="15" customHeight="1" x14ac:dyDescent="0.2">
      <c r="B347" s="16"/>
      <c r="C347" s="16"/>
      <c r="D347" s="16"/>
      <c r="E347" s="16"/>
      <c r="F347" s="16"/>
      <c r="G347" s="16"/>
      <c r="H347" s="21" t="s">
        <v>426</v>
      </c>
      <c r="I347" s="18"/>
      <c r="J347" s="22" t="s">
        <v>364</v>
      </c>
      <c r="K347" s="157">
        <f>+K348+K349</f>
        <v>146768146</v>
      </c>
      <c r="L347" s="157">
        <f t="shared" ref="L347:M347" si="139">+L348+L349</f>
        <v>0</v>
      </c>
      <c r="M347" s="157">
        <f t="shared" si="139"/>
        <v>146768146</v>
      </c>
    </row>
    <row r="348" spans="2:13" ht="15" customHeight="1" x14ac:dyDescent="0.2">
      <c r="B348" s="16" t="s">
        <v>1002</v>
      </c>
      <c r="C348" s="16" t="s">
        <v>1006</v>
      </c>
      <c r="D348" s="16" t="s">
        <v>1047</v>
      </c>
      <c r="E348" s="16" t="s">
        <v>1021</v>
      </c>
      <c r="F348" s="16" t="s">
        <v>1022</v>
      </c>
      <c r="G348" s="16" t="s">
        <v>1025</v>
      </c>
      <c r="H348" s="21" t="s">
        <v>427</v>
      </c>
      <c r="I348" s="18" t="str">
        <f>RIGHT(H348,4)</f>
        <v xml:space="preserve"> 103</v>
      </c>
      <c r="J348" s="22" t="s">
        <v>364</v>
      </c>
      <c r="K348" s="126">
        <f>+Tabla13[[#This Row],[PF TOTAL]]</f>
        <v>4236634</v>
      </c>
      <c r="L348" s="23"/>
      <c r="M348" s="126">
        <f>+Tabla134[[#This Row],[PF AJUSTE 1]]+Tabla134[[#This Row],[AJUSTE 2]]</f>
        <v>4236634</v>
      </c>
    </row>
    <row r="349" spans="2:13" ht="15" customHeight="1" x14ac:dyDescent="0.2">
      <c r="B349" s="16" t="s">
        <v>1002</v>
      </c>
      <c r="C349" s="16" t="s">
        <v>1006</v>
      </c>
      <c r="D349" s="16" t="s">
        <v>1047</v>
      </c>
      <c r="E349" s="16" t="s">
        <v>1021</v>
      </c>
      <c r="F349" s="16" t="s">
        <v>1022</v>
      </c>
      <c r="G349" s="16" t="s">
        <v>1025</v>
      </c>
      <c r="H349" s="21" t="s">
        <v>428</v>
      </c>
      <c r="I349" s="18" t="str">
        <f>RIGHT(H349,4)</f>
        <v>- 71</v>
      </c>
      <c r="J349" s="22" t="s">
        <v>364</v>
      </c>
      <c r="K349" s="126">
        <f>+Tabla13[[#This Row],[PF TOTAL]]</f>
        <v>142531512</v>
      </c>
      <c r="L349" s="23"/>
      <c r="M349" s="126">
        <f>+Tabla134[[#This Row],[PF AJUSTE 1]]+Tabla134[[#This Row],[AJUSTE 2]]</f>
        <v>142531512</v>
      </c>
    </row>
    <row r="350" spans="2:13" ht="30" customHeight="1" x14ac:dyDescent="0.2">
      <c r="B350" s="16"/>
      <c r="C350" s="16"/>
      <c r="D350" s="16"/>
      <c r="E350" s="16"/>
      <c r="F350" s="16"/>
      <c r="G350" s="16"/>
      <c r="H350" s="21" t="s">
        <v>429</v>
      </c>
      <c r="I350" s="18"/>
      <c r="J350" s="22" t="s">
        <v>367</v>
      </c>
      <c r="K350" s="157">
        <f>+K351</f>
        <v>535248418</v>
      </c>
      <c r="L350" s="157">
        <f t="shared" ref="L350:M350" si="140">+L351</f>
        <v>0</v>
      </c>
      <c r="M350" s="157">
        <f t="shared" si="140"/>
        <v>535248418</v>
      </c>
    </row>
    <row r="351" spans="2:13" ht="30" customHeight="1" x14ac:dyDescent="0.2">
      <c r="B351" s="16" t="s">
        <v>1002</v>
      </c>
      <c r="C351" s="16" t="s">
        <v>1006</v>
      </c>
      <c r="D351" s="16" t="s">
        <v>1047</v>
      </c>
      <c r="E351" s="16" t="s">
        <v>1021</v>
      </c>
      <c r="F351" s="16" t="s">
        <v>1022</v>
      </c>
      <c r="G351" s="16" t="s">
        <v>1025</v>
      </c>
      <c r="H351" s="21" t="s">
        <v>430</v>
      </c>
      <c r="I351" s="18" t="str">
        <f>RIGHT(H351,4)</f>
        <v xml:space="preserve"> 70A</v>
      </c>
      <c r="J351" s="22" t="s">
        <v>367</v>
      </c>
      <c r="K351" s="126">
        <f>+Tabla13[[#This Row],[PF TOTAL]]</f>
        <v>535248418</v>
      </c>
      <c r="L351" s="23"/>
      <c r="M351" s="126">
        <f>+Tabla134[[#This Row],[PF AJUSTE 1]]+Tabla134[[#This Row],[AJUSTE 2]]</f>
        <v>535248418</v>
      </c>
    </row>
    <row r="352" spans="2:13" s="13" customFormat="1" ht="15.75" customHeight="1" x14ac:dyDescent="0.25">
      <c r="B352" s="24"/>
      <c r="C352" s="24"/>
      <c r="D352" s="24"/>
      <c r="E352" s="24"/>
      <c r="F352" s="24"/>
      <c r="G352" s="24"/>
      <c r="H352" s="17" t="s">
        <v>431</v>
      </c>
      <c r="I352" s="18"/>
      <c r="J352" s="19" t="s">
        <v>225</v>
      </c>
      <c r="K352" s="156">
        <f>+K353+K361</f>
        <v>0</v>
      </c>
      <c r="L352" s="156">
        <f t="shared" ref="L352:M352" si="141">+L353+L361</f>
        <v>0</v>
      </c>
      <c r="M352" s="156">
        <f t="shared" si="141"/>
        <v>0</v>
      </c>
    </row>
    <row r="353" spans="2:13" s="13" customFormat="1" ht="15.75" customHeight="1" x14ac:dyDescent="0.25">
      <c r="B353" s="24"/>
      <c r="C353" s="24"/>
      <c r="D353" s="24"/>
      <c r="E353" s="24"/>
      <c r="F353" s="24"/>
      <c r="G353" s="24"/>
      <c r="H353" s="17" t="s">
        <v>432</v>
      </c>
      <c r="I353" s="18"/>
      <c r="J353" s="19" t="s">
        <v>239</v>
      </c>
      <c r="K353" s="156">
        <f>+K354</f>
        <v>0</v>
      </c>
      <c r="L353" s="156">
        <f t="shared" ref="L353:M353" si="142">+L354</f>
        <v>0</v>
      </c>
      <c r="M353" s="156">
        <f t="shared" si="142"/>
        <v>0</v>
      </c>
    </row>
    <row r="354" spans="2:13" s="13" customFormat="1" ht="15.75" customHeight="1" x14ac:dyDescent="0.25">
      <c r="B354" s="24"/>
      <c r="C354" s="24"/>
      <c r="D354" s="24"/>
      <c r="E354" s="24"/>
      <c r="F354" s="24"/>
      <c r="G354" s="24"/>
      <c r="H354" s="17" t="s">
        <v>433</v>
      </c>
      <c r="I354" s="18"/>
      <c r="J354" s="19" t="s">
        <v>241</v>
      </c>
      <c r="K354" s="156">
        <f>SUM(K355:K360)</f>
        <v>0</v>
      </c>
      <c r="L354" s="156">
        <f t="shared" ref="L354:M354" si="143">SUM(L355:L360)</f>
        <v>0</v>
      </c>
      <c r="M354" s="156">
        <f t="shared" si="143"/>
        <v>0</v>
      </c>
    </row>
    <row r="355" spans="2:13" ht="15" customHeight="1" x14ac:dyDescent="0.2">
      <c r="B355" s="16" t="s">
        <v>1002</v>
      </c>
      <c r="C355" s="16" t="s">
        <v>1006</v>
      </c>
      <c r="D355" s="16" t="s">
        <v>1047</v>
      </c>
      <c r="E355" s="16" t="s">
        <v>1021</v>
      </c>
      <c r="F355" s="16" t="s">
        <v>1023</v>
      </c>
      <c r="G355" s="16" t="s">
        <v>1028</v>
      </c>
      <c r="H355" s="21" t="s">
        <v>730</v>
      </c>
      <c r="I355" s="18" t="str">
        <f t="shared" ref="I355:I360" si="144">RIGHT(H355,4)</f>
        <v>106F</v>
      </c>
      <c r="J355" s="22" t="s">
        <v>241</v>
      </c>
      <c r="K355" s="126">
        <f>+Tabla13[[#This Row],[PF TOTAL]]</f>
        <v>0</v>
      </c>
      <c r="L355" s="23"/>
      <c r="M355" s="126">
        <f>+Tabla134[[#This Row],[PF AJUSTE 1]]+Tabla134[[#This Row],[AJUSTE 2]]</f>
        <v>0</v>
      </c>
    </row>
    <row r="356" spans="2:13" ht="15" customHeight="1" x14ac:dyDescent="0.2">
      <c r="B356" s="16" t="s">
        <v>1002</v>
      </c>
      <c r="C356" s="16" t="s">
        <v>1006</v>
      </c>
      <c r="D356" s="16" t="s">
        <v>1047</v>
      </c>
      <c r="E356" s="16" t="s">
        <v>1021</v>
      </c>
      <c r="F356" s="16" t="s">
        <v>1023</v>
      </c>
      <c r="G356" s="16" t="s">
        <v>1028</v>
      </c>
      <c r="H356" s="21" t="s">
        <v>731</v>
      </c>
      <c r="I356" s="18" t="str">
        <f t="shared" si="144"/>
        <v>150F</v>
      </c>
      <c r="J356" s="22" t="s">
        <v>241</v>
      </c>
      <c r="K356" s="126">
        <f>+Tabla13[[#This Row],[PF TOTAL]]</f>
        <v>0</v>
      </c>
      <c r="L356" s="23"/>
      <c r="M356" s="126">
        <f>+Tabla134[[#This Row],[PF AJUSTE 1]]+Tabla134[[#This Row],[AJUSTE 2]]</f>
        <v>0</v>
      </c>
    </row>
    <row r="357" spans="2:13" ht="15" customHeight="1" x14ac:dyDescent="0.2">
      <c r="B357" s="16" t="s">
        <v>1002</v>
      </c>
      <c r="C357" s="16" t="s">
        <v>1006</v>
      </c>
      <c r="D357" s="16" t="s">
        <v>1047</v>
      </c>
      <c r="E357" s="16" t="s">
        <v>1021</v>
      </c>
      <c r="F357" s="16" t="s">
        <v>1023</v>
      </c>
      <c r="G357" s="16" t="s">
        <v>1028</v>
      </c>
      <c r="H357" s="21" t="s">
        <v>732</v>
      </c>
      <c r="I357" s="18" t="str">
        <f t="shared" si="144"/>
        <v xml:space="preserve"> 16F</v>
      </c>
      <c r="J357" s="22" t="s">
        <v>241</v>
      </c>
      <c r="K357" s="126">
        <f>+Tabla13[[#This Row],[PF TOTAL]]</f>
        <v>0</v>
      </c>
      <c r="L357" s="23"/>
      <c r="M357" s="126">
        <f>+Tabla134[[#This Row],[PF AJUSTE 1]]+Tabla134[[#This Row],[AJUSTE 2]]</f>
        <v>0</v>
      </c>
    </row>
    <row r="358" spans="2:13" ht="15" customHeight="1" x14ac:dyDescent="0.2">
      <c r="B358" s="16" t="s">
        <v>1002</v>
      </c>
      <c r="C358" s="16" t="s">
        <v>1006</v>
      </c>
      <c r="D358" s="16" t="s">
        <v>1047</v>
      </c>
      <c r="E358" s="16" t="s">
        <v>1021</v>
      </c>
      <c r="F358" s="16" t="s">
        <v>1023</v>
      </c>
      <c r="G358" s="16" t="s">
        <v>1028</v>
      </c>
      <c r="H358" s="21" t="s">
        <v>733</v>
      </c>
      <c r="I358" s="18" t="str">
        <f t="shared" si="144"/>
        <v xml:space="preserve"> 29F</v>
      </c>
      <c r="J358" s="22" t="s">
        <v>241</v>
      </c>
      <c r="K358" s="126">
        <f>+Tabla13[[#This Row],[PF TOTAL]]</f>
        <v>0</v>
      </c>
      <c r="L358" s="23"/>
      <c r="M358" s="126">
        <f>+Tabla134[[#This Row],[PF AJUSTE 1]]+Tabla134[[#This Row],[AJUSTE 2]]</f>
        <v>0</v>
      </c>
    </row>
    <row r="359" spans="2:13" ht="15" customHeight="1" x14ac:dyDescent="0.2">
      <c r="B359" s="16" t="s">
        <v>1002</v>
      </c>
      <c r="C359" s="16" t="s">
        <v>1006</v>
      </c>
      <c r="D359" s="16" t="s">
        <v>1047</v>
      </c>
      <c r="E359" s="16" t="s">
        <v>1021</v>
      </c>
      <c r="F359" s="16" t="s">
        <v>1023</v>
      </c>
      <c r="G359" s="16" t="s">
        <v>1028</v>
      </c>
      <c r="H359" s="21" t="s">
        <v>734</v>
      </c>
      <c r="I359" s="18" t="str">
        <f t="shared" si="144"/>
        <v xml:space="preserve"> 41F</v>
      </c>
      <c r="J359" s="22" t="s">
        <v>241</v>
      </c>
      <c r="K359" s="126">
        <f>+Tabla13[[#This Row],[PF TOTAL]]</f>
        <v>0</v>
      </c>
      <c r="L359" s="23"/>
      <c r="M359" s="126">
        <f>+Tabla134[[#This Row],[PF AJUSTE 1]]+Tabla134[[#This Row],[AJUSTE 2]]</f>
        <v>0</v>
      </c>
    </row>
    <row r="360" spans="2:13" ht="15" customHeight="1" x14ac:dyDescent="0.2">
      <c r="B360" s="16" t="s">
        <v>1002</v>
      </c>
      <c r="C360" s="16" t="s">
        <v>1006</v>
      </c>
      <c r="D360" s="16" t="s">
        <v>1047</v>
      </c>
      <c r="E360" s="16" t="s">
        <v>1021</v>
      </c>
      <c r="F360" s="16" t="s">
        <v>1023</v>
      </c>
      <c r="G360" s="16" t="s">
        <v>1028</v>
      </c>
      <c r="H360" s="21" t="s">
        <v>735</v>
      </c>
      <c r="I360" s="18" t="str">
        <f t="shared" si="144"/>
        <v xml:space="preserve"> 84F</v>
      </c>
      <c r="J360" s="22" t="s">
        <v>241</v>
      </c>
      <c r="K360" s="126">
        <f>+Tabla13[[#This Row],[PF TOTAL]]</f>
        <v>0</v>
      </c>
      <c r="L360" s="23"/>
      <c r="M360" s="126">
        <f>+Tabla134[[#This Row],[PF AJUSTE 1]]+Tabla134[[#This Row],[AJUSTE 2]]</f>
        <v>0</v>
      </c>
    </row>
    <row r="361" spans="2:13" s="13" customFormat="1" ht="15.75" customHeight="1" x14ac:dyDescent="0.25">
      <c r="B361" s="24"/>
      <c r="C361" s="24"/>
      <c r="D361" s="24"/>
      <c r="E361" s="24"/>
      <c r="F361" s="24"/>
      <c r="G361" s="24"/>
      <c r="H361" s="17" t="s">
        <v>434</v>
      </c>
      <c r="I361" s="18"/>
      <c r="J361" s="19" t="s">
        <v>267</v>
      </c>
      <c r="K361" s="156">
        <f>+K362</f>
        <v>0</v>
      </c>
      <c r="L361" s="156">
        <f t="shared" ref="L361:M362" si="145">+L362</f>
        <v>0</v>
      </c>
      <c r="M361" s="156">
        <f t="shared" si="145"/>
        <v>0</v>
      </c>
    </row>
    <row r="362" spans="2:13" s="13" customFormat="1" ht="15.75" customHeight="1" x14ac:dyDescent="0.25">
      <c r="B362" s="24"/>
      <c r="C362" s="24"/>
      <c r="D362" s="24"/>
      <c r="E362" s="24"/>
      <c r="F362" s="24"/>
      <c r="G362" s="24"/>
      <c r="H362" s="17" t="s">
        <v>435</v>
      </c>
      <c r="I362" s="18"/>
      <c r="J362" s="19" t="s">
        <v>271</v>
      </c>
      <c r="K362" s="156">
        <f>+K363</f>
        <v>0</v>
      </c>
      <c r="L362" s="156">
        <f t="shared" si="145"/>
        <v>0</v>
      </c>
      <c r="M362" s="156">
        <f t="shared" si="145"/>
        <v>0</v>
      </c>
    </row>
    <row r="363" spans="2:13" ht="15" customHeight="1" x14ac:dyDescent="0.2">
      <c r="B363" s="16" t="s">
        <v>1002</v>
      </c>
      <c r="C363" s="16" t="s">
        <v>1006</v>
      </c>
      <c r="D363" s="16" t="s">
        <v>1047</v>
      </c>
      <c r="E363" s="16" t="s">
        <v>1021</v>
      </c>
      <c r="F363" s="16" t="s">
        <v>1023</v>
      </c>
      <c r="G363" s="16" t="s">
        <v>1030</v>
      </c>
      <c r="H363" s="21" t="s">
        <v>736</v>
      </c>
      <c r="I363" s="18" t="str">
        <f>RIGHT(H363,4)</f>
        <v>41RB</v>
      </c>
      <c r="J363" s="22" t="s">
        <v>271</v>
      </c>
      <c r="K363" s="126">
        <f>+Tabla13[[#This Row],[PF TOTAL]]</f>
        <v>0</v>
      </c>
      <c r="L363" s="23"/>
      <c r="M363" s="126">
        <f>+Tabla134[[#This Row],[PF AJUSTE 1]]+Tabla134[[#This Row],[AJUSTE 2]]</f>
        <v>0</v>
      </c>
    </row>
    <row r="364" spans="2:13" ht="15.75" customHeight="1" x14ac:dyDescent="0.25">
      <c r="B364" s="16"/>
      <c r="C364" s="16"/>
      <c r="D364" s="16"/>
      <c r="E364" s="16"/>
      <c r="F364" s="16"/>
      <c r="G364" s="16"/>
      <c r="H364" s="41" t="s">
        <v>791</v>
      </c>
      <c r="I364" s="42"/>
      <c r="J364" s="43" t="s">
        <v>792</v>
      </c>
      <c r="K364" s="156">
        <f>+K365</f>
        <v>20979541144</v>
      </c>
      <c r="L364" s="156">
        <f t="shared" ref="L364:M364" si="146">+L365</f>
        <v>0</v>
      </c>
      <c r="M364" s="156">
        <f t="shared" si="146"/>
        <v>20979541144</v>
      </c>
    </row>
    <row r="365" spans="2:13" s="13" customFormat="1" ht="15.75" customHeight="1" x14ac:dyDescent="0.25">
      <c r="B365" s="24"/>
      <c r="C365" s="24"/>
      <c r="D365" s="24"/>
      <c r="E365" s="24"/>
      <c r="F365" s="24"/>
      <c r="G365" s="24"/>
      <c r="H365" s="17" t="s">
        <v>436</v>
      </c>
      <c r="I365" s="18"/>
      <c r="J365" s="19" t="s">
        <v>1</v>
      </c>
      <c r="K365" s="156">
        <f>+K366+K380</f>
        <v>20979541144</v>
      </c>
      <c r="L365" s="156">
        <f t="shared" ref="L365:M365" si="147">+L366+L380</f>
        <v>0</v>
      </c>
      <c r="M365" s="156">
        <f t="shared" si="147"/>
        <v>20979541144</v>
      </c>
    </row>
    <row r="366" spans="2:13" s="13" customFormat="1" ht="15.75" customHeight="1" x14ac:dyDescent="0.25">
      <c r="B366" s="24"/>
      <c r="C366" s="24"/>
      <c r="D366" s="24"/>
      <c r="E366" s="24"/>
      <c r="F366" s="24"/>
      <c r="G366" s="24"/>
      <c r="H366" s="17" t="s">
        <v>437</v>
      </c>
      <c r="I366" s="18"/>
      <c r="J366" s="19" t="s">
        <v>3</v>
      </c>
      <c r="K366" s="156">
        <f>+K367</f>
        <v>20679541144</v>
      </c>
      <c r="L366" s="156">
        <f t="shared" ref="L366:M367" si="148">+L367</f>
        <v>0</v>
      </c>
      <c r="M366" s="156">
        <f t="shared" si="148"/>
        <v>20679541144</v>
      </c>
    </row>
    <row r="367" spans="2:13" s="13" customFormat="1" ht="15.75" customHeight="1" x14ac:dyDescent="0.25">
      <c r="B367" s="24"/>
      <c r="C367" s="24"/>
      <c r="D367" s="24"/>
      <c r="E367" s="24"/>
      <c r="F367" s="24"/>
      <c r="G367" s="24"/>
      <c r="H367" s="17" t="s">
        <v>438</v>
      </c>
      <c r="I367" s="18"/>
      <c r="J367" s="19" t="s">
        <v>86</v>
      </c>
      <c r="K367" s="156">
        <f>+K368</f>
        <v>20679541144</v>
      </c>
      <c r="L367" s="156">
        <f t="shared" si="148"/>
        <v>0</v>
      </c>
      <c r="M367" s="156">
        <f t="shared" si="148"/>
        <v>20679541144</v>
      </c>
    </row>
    <row r="368" spans="2:13" s="13" customFormat="1" ht="15.75" customHeight="1" x14ac:dyDescent="0.25">
      <c r="B368" s="24"/>
      <c r="C368" s="24"/>
      <c r="D368" s="24"/>
      <c r="E368" s="24"/>
      <c r="F368" s="24"/>
      <c r="G368" s="24"/>
      <c r="H368" s="17" t="s">
        <v>439</v>
      </c>
      <c r="I368" s="18"/>
      <c r="J368" s="19" t="s">
        <v>164</v>
      </c>
      <c r="K368" s="156">
        <f>+K369+K373</f>
        <v>20679541144</v>
      </c>
      <c r="L368" s="156">
        <f t="shared" ref="L368:M368" si="149">+L369+L373</f>
        <v>0</v>
      </c>
      <c r="M368" s="156">
        <f t="shared" si="149"/>
        <v>20679541144</v>
      </c>
    </row>
    <row r="369" spans="2:13" ht="15" customHeight="1" x14ac:dyDescent="0.2">
      <c r="B369" s="16"/>
      <c r="C369" s="16"/>
      <c r="D369" s="16"/>
      <c r="E369" s="16"/>
      <c r="F369" s="16"/>
      <c r="G369" s="16"/>
      <c r="H369" s="21" t="s">
        <v>440</v>
      </c>
      <c r="I369" s="18"/>
      <c r="J369" s="22" t="s">
        <v>166</v>
      </c>
      <c r="K369" s="157">
        <f>+K370</f>
        <v>18824497618</v>
      </c>
      <c r="L369" s="157">
        <f t="shared" ref="L369:M371" si="150">+L370</f>
        <v>0</v>
      </c>
      <c r="M369" s="157">
        <f t="shared" si="150"/>
        <v>18824497618</v>
      </c>
    </row>
    <row r="370" spans="2:13" ht="15" customHeight="1" x14ac:dyDescent="0.2">
      <c r="B370" s="16"/>
      <c r="C370" s="16"/>
      <c r="D370" s="16"/>
      <c r="E370" s="16"/>
      <c r="F370" s="16"/>
      <c r="G370" s="16"/>
      <c r="H370" s="21" t="s">
        <v>441</v>
      </c>
      <c r="I370" s="18"/>
      <c r="J370" s="22" t="s">
        <v>442</v>
      </c>
      <c r="K370" s="157">
        <f>+K371</f>
        <v>18824497618</v>
      </c>
      <c r="L370" s="157">
        <f t="shared" si="150"/>
        <v>0</v>
      </c>
      <c r="M370" s="157">
        <f t="shared" si="150"/>
        <v>18824497618</v>
      </c>
    </row>
    <row r="371" spans="2:13" ht="15" customHeight="1" x14ac:dyDescent="0.2">
      <c r="B371" s="16"/>
      <c r="C371" s="16"/>
      <c r="D371" s="16"/>
      <c r="E371" s="16"/>
      <c r="F371" s="16"/>
      <c r="G371" s="16"/>
      <c r="H371" s="21" t="s">
        <v>443</v>
      </c>
      <c r="I371" s="18"/>
      <c r="J371" s="22" t="s">
        <v>444</v>
      </c>
      <c r="K371" s="157">
        <f>+K372</f>
        <v>18824497618</v>
      </c>
      <c r="L371" s="157">
        <f t="shared" si="150"/>
        <v>0</v>
      </c>
      <c r="M371" s="157">
        <f t="shared" si="150"/>
        <v>18824497618</v>
      </c>
    </row>
    <row r="372" spans="2:13" ht="15" customHeight="1" x14ac:dyDescent="0.2">
      <c r="B372" s="16" t="s">
        <v>1002</v>
      </c>
      <c r="C372" s="16" t="s">
        <v>1006</v>
      </c>
      <c r="D372" s="16" t="s">
        <v>1048</v>
      </c>
      <c r="E372" s="16" t="s">
        <v>1017</v>
      </c>
      <c r="F372" s="16" t="s">
        <v>1022</v>
      </c>
      <c r="G372" s="16" t="s">
        <v>1025</v>
      </c>
      <c r="H372" s="21" t="s">
        <v>445</v>
      </c>
      <c r="I372" s="18" t="str">
        <f>RIGHT(H372,4)</f>
        <v>- 32</v>
      </c>
      <c r="J372" s="22" t="s">
        <v>444</v>
      </c>
      <c r="K372" s="126">
        <f>+Tabla13[[#This Row],[PF TOTAL]]</f>
        <v>18824497618</v>
      </c>
      <c r="L372" s="23"/>
      <c r="M372" s="126">
        <f>+Tabla134[[#This Row],[PF AJUSTE 1]]+Tabla134[[#This Row],[AJUSTE 2]]</f>
        <v>18824497618</v>
      </c>
    </row>
    <row r="373" spans="2:13" ht="31.5" customHeight="1" x14ac:dyDescent="0.25">
      <c r="B373" s="16"/>
      <c r="C373" s="16"/>
      <c r="D373" s="16"/>
      <c r="E373" s="16"/>
      <c r="F373" s="16"/>
      <c r="G373" s="16"/>
      <c r="H373" s="17" t="s">
        <v>446</v>
      </c>
      <c r="I373" s="18"/>
      <c r="J373" s="19" t="s">
        <v>301</v>
      </c>
      <c r="K373" s="156">
        <f>+K374+K376+K378</f>
        <v>1855043526</v>
      </c>
      <c r="L373" s="156">
        <f t="shared" ref="L373:M373" si="151">+L374+L376+L378</f>
        <v>0</v>
      </c>
      <c r="M373" s="156">
        <f t="shared" si="151"/>
        <v>1855043526</v>
      </c>
    </row>
    <row r="374" spans="2:13" ht="30" customHeight="1" x14ac:dyDescent="0.2">
      <c r="B374" s="16"/>
      <c r="C374" s="16"/>
      <c r="D374" s="16"/>
      <c r="E374" s="16"/>
      <c r="F374" s="16"/>
      <c r="G374" s="16"/>
      <c r="H374" s="21" t="s">
        <v>447</v>
      </c>
      <c r="I374" s="18"/>
      <c r="J374" s="22" t="s">
        <v>448</v>
      </c>
      <c r="K374" s="157">
        <f>+K375</f>
        <v>1443981088</v>
      </c>
      <c r="L374" s="157">
        <f t="shared" ref="L374:M374" si="152">+L375</f>
        <v>0</v>
      </c>
      <c r="M374" s="157">
        <f t="shared" si="152"/>
        <v>1443981088</v>
      </c>
    </row>
    <row r="375" spans="2:13" ht="30" customHeight="1" x14ac:dyDescent="0.2">
      <c r="B375" s="16" t="s">
        <v>1002</v>
      </c>
      <c r="C375" s="16" t="s">
        <v>1006</v>
      </c>
      <c r="D375" s="16" t="s">
        <v>1048</v>
      </c>
      <c r="E375" s="16" t="s">
        <v>1021</v>
      </c>
      <c r="F375" s="16" t="s">
        <v>1022</v>
      </c>
      <c r="G375" s="16" t="s">
        <v>1025</v>
      </c>
      <c r="H375" s="21" t="s">
        <v>449</v>
      </c>
      <c r="I375" s="18" t="str">
        <f>RIGHT(H375,4)</f>
        <v>- 33</v>
      </c>
      <c r="J375" s="22" t="s">
        <v>448</v>
      </c>
      <c r="K375" s="126">
        <f>+Tabla13[[#This Row],[PF TOTAL]]</f>
        <v>1443981088</v>
      </c>
      <c r="L375" s="23"/>
      <c r="M375" s="126">
        <f>+Tabla134[[#This Row],[PF AJUSTE 1]]+Tabla134[[#This Row],[AJUSTE 2]]</f>
        <v>1443981088</v>
      </c>
    </row>
    <row r="376" spans="2:13" ht="15" customHeight="1" x14ac:dyDescent="0.2">
      <c r="B376" s="16"/>
      <c r="C376" s="16"/>
      <c r="D376" s="16"/>
      <c r="E376" s="16"/>
      <c r="F376" s="16"/>
      <c r="G376" s="16"/>
      <c r="H376" s="21" t="s">
        <v>450</v>
      </c>
      <c r="I376" s="18"/>
      <c r="J376" s="22" t="s">
        <v>451</v>
      </c>
      <c r="K376" s="157">
        <f>+K377</f>
        <v>350000000</v>
      </c>
      <c r="L376" s="157">
        <f t="shared" ref="L376:M376" si="153">+L377</f>
        <v>0</v>
      </c>
      <c r="M376" s="157">
        <f t="shared" si="153"/>
        <v>350000000</v>
      </c>
    </row>
    <row r="377" spans="2:13" ht="15" customHeight="1" x14ac:dyDescent="0.2">
      <c r="B377" s="16" t="s">
        <v>1002</v>
      </c>
      <c r="C377" s="16" t="s">
        <v>1006</v>
      </c>
      <c r="D377" s="16" t="s">
        <v>1048</v>
      </c>
      <c r="E377" s="16" t="s">
        <v>1021</v>
      </c>
      <c r="F377" s="16" t="s">
        <v>1022</v>
      </c>
      <c r="G377" s="16" t="s">
        <v>1025</v>
      </c>
      <c r="H377" s="21" t="s">
        <v>452</v>
      </c>
      <c r="I377" s="18" t="str">
        <f>RIGHT(H377,4)</f>
        <v>- 35</v>
      </c>
      <c r="J377" s="22" t="s">
        <v>451</v>
      </c>
      <c r="K377" s="126">
        <f>+Tabla13[[#This Row],[PF TOTAL]]</f>
        <v>350000000</v>
      </c>
      <c r="L377" s="23"/>
      <c r="M377" s="126">
        <f>+Tabla134[[#This Row],[PF AJUSTE 1]]+Tabla134[[#This Row],[AJUSTE 2]]</f>
        <v>350000000</v>
      </c>
    </row>
    <row r="378" spans="2:13" ht="15" customHeight="1" x14ac:dyDescent="0.2">
      <c r="B378" s="16"/>
      <c r="C378" s="16"/>
      <c r="D378" s="16"/>
      <c r="E378" s="16"/>
      <c r="F378" s="16"/>
      <c r="G378" s="16"/>
      <c r="H378" s="21" t="s">
        <v>453</v>
      </c>
      <c r="I378" s="18"/>
      <c r="J378" s="22" t="s">
        <v>454</v>
      </c>
      <c r="K378" s="157">
        <f>+K379</f>
        <v>61062438</v>
      </c>
      <c r="L378" s="157">
        <f t="shared" ref="L378:M378" si="154">+L379</f>
        <v>0</v>
      </c>
      <c r="M378" s="157">
        <f t="shared" si="154"/>
        <v>61062438</v>
      </c>
    </row>
    <row r="379" spans="2:13" ht="15" customHeight="1" x14ac:dyDescent="0.2">
      <c r="B379" s="16" t="s">
        <v>1002</v>
      </c>
      <c r="C379" s="16" t="s">
        <v>1006</v>
      </c>
      <c r="D379" s="16" t="s">
        <v>1048</v>
      </c>
      <c r="E379" s="16" t="s">
        <v>1021</v>
      </c>
      <c r="F379" s="16" t="s">
        <v>1022</v>
      </c>
      <c r="G379" s="16" t="s">
        <v>1025</v>
      </c>
      <c r="H379" s="21" t="s">
        <v>455</v>
      </c>
      <c r="I379" s="18" t="str">
        <f>RIGHT(H379,4)</f>
        <v>- 36</v>
      </c>
      <c r="J379" s="22" t="s">
        <v>454</v>
      </c>
      <c r="K379" s="126">
        <f>+Tabla13[[#This Row],[PF TOTAL]]</f>
        <v>61062438</v>
      </c>
      <c r="L379" s="23"/>
      <c r="M379" s="126">
        <f>+Tabla134[[#This Row],[PF AJUSTE 1]]+Tabla134[[#This Row],[AJUSTE 2]]</f>
        <v>61062438</v>
      </c>
    </row>
    <row r="380" spans="2:13" s="13" customFormat="1" ht="15.75" customHeight="1" x14ac:dyDescent="0.25">
      <c r="B380" s="24"/>
      <c r="C380" s="24"/>
      <c r="D380" s="24"/>
      <c r="E380" s="24"/>
      <c r="F380" s="24"/>
      <c r="G380" s="24"/>
      <c r="H380" s="17" t="s">
        <v>456</v>
      </c>
      <c r="I380" s="18"/>
      <c r="J380" s="19" t="s">
        <v>225</v>
      </c>
      <c r="K380" s="156">
        <f>+K381+K387+K390</f>
        <v>300000000</v>
      </c>
      <c r="L380" s="156">
        <f t="shared" ref="L380:M380" si="155">+L381+L387+L390</f>
        <v>0</v>
      </c>
      <c r="M380" s="156">
        <f t="shared" si="155"/>
        <v>300000000</v>
      </c>
    </row>
    <row r="381" spans="2:13" s="13" customFormat="1" ht="15.75" customHeight="1" x14ac:dyDescent="0.25">
      <c r="B381" s="24"/>
      <c r="C381" s="24"/>
      <c r="D381" s="24"/>
      <c r="E381" s="24"/>
      <c r="F381" s="24"/>
      <c r="G381" s="24"/>
      <c r="H381" s="17" t="s">
        <v>457</v>
      </c>
      <c r="I381" s="18"/>
      <c r="J381" s="19" t="s">
        <v>239</v>
      </c>
      <c r="K381" s="156">
        <f>+K382</f>
        <v>300000000</v>
      </c>
      <c r="L381" s="156">
        <f t="shared" ref="L381:M381" si="156">+L382</f>
        <v>0</v>
      </c>
      <c r="M381" s="156">
        <f t="shared" si="156"/>
        <v>300000000</v>
      </c>
    </row>
    <row r="382" spans="2:13" s="13" customFormat="1" ht="15.75" customHeight="1" x14ac:dyDescent="0.25">
      <c r="B382" s="24"/>
      <c r="C382" s="24"/>
      <c r="D382" s="24"/>
      <c r="E382" s="24"/>
      <c r="F382" s="24"/>
      <c r="G382" s="24"/>
      <c r="H382" s="17" t="s">
        <v>458</v>
      </c>
      <c r="I382" s="18"/>
      <c r="J382" s="19" t="s">
        <v>241</v>
      </c>
      <c r="K382" s="156">
        <f>SUM(K383:K386)</f>
        <v>300000000</v>
      </c>
      <c r="L382" s="156">
        <f t="shared" ref="L382:M382" si="157">SUM(L383:L386)</f>
        <v>0</v>
      </c>
      <c r="M382" s="156">
        <f t="shared" si="157"/>
        <v>300000000</v>
      </c>
    </row>
    <row r="383" spans="2:13" ht="15" customHeight="1" x14ac:dyDescent="0.2">
      <c r="B383" s="16" t="s">
        <v>1002</v>
      </c>
      <c r="C383" s="16" t="s">
        <v>1006</v>
      </c>
      <c r="D383" s="16" t="s">
        <v>1048</v>
      </c>
      <c r="E383" s="16" t="s">
        <v>1017</v>
      </c>
      <c r="F383" s="16" t="s">
        <v>1023</v>
      </c>
      <c r="G383" s="16" t="s">
        <v>1028</v>
      </c>
      <c r="H383" s="21" t="s">
        <v>459</v>
      </c>
      <c r="I383" s="18" t="str">
        <f>RIGHT(H383,4)</f>
        <v xml:space="preserve"> 32F</v>
      </c>
      <c r="J383" s="22" t="s">
        <v>241</v>
      </c>
      <c r="K383" s="126">
        <f>+Tabla13[[#This Row],[PF TOTAL]]</f>
        <v>300000000</v>
      </c>
      <c r="L383" s="23"/>
      <c r="M383" s="126">
        <f>+Tabla134[[#This Row],[PF AJUSTE 1]]+Tabla134[[#This Row],[AJUSTE 2]]</f>
        <v>300000000</v>
      </c>
    </row>
    <row r="384" spans="2:13" ht="15" customHeight="1" x14ac:dyDescent="0.2">
      <c r="B384" s="16" t="s">
        <v>1002</v>
      </c>
      <c r="C384" s="16" t="s">
        <v>1006</v>
      </c>
      <c r="D384" s="16" t="s">
        <v>1048</v>
      </c>
      <c r="E384" s="16" t="s">
        <v>1021</v>
      </c>
      <c r="F384" s="16" t="s">
        <v>1023</v>
      </c>
      <c r="G384" s="16" t="s">
        <v>1028</v>
      </c>
      <c r="H384" s="21" t="s">
        <v>460</v>
      </c>
      <c r="I384" s="18" t="str">
        <f>RIGHT(H384,4)</f>
        <v xml:space="preserve"> 33F</v>
      </c>
      <c r="J384" s="22" t="s">
        <v>241</v>
      </c>
      <c r="K384" s="126">
        <f>+Tabla13[[#This Row],[PF TOTAL]]</f>
        <v>0</v>
      </c>
      <c r="L384" s="23"/>
      <c r="M384" s="126">
        <f>+Tabla134[[#This Row],[PF AJUSTE 1]]+Tabla134[[#This Row],[AJUSTE 2]]</f>
        <v>0</v>
      </c>
    </row>
    <row r="385" spans="2:13" ht="15" customHeight="1" x14ac:dyDescent="0.2">
      <c r="B385" s="16" t="s">
        <v>1002</v>
      </c>
      <c r="C385" s="16" t="s">
        <v>1006</v>
      </c>
      <c r="D385" s="16" t="s">
        <v>1048</v>
      </c>
      <c r="E385" s="16" t="s">
        <v>1021</v>
      </c>
      <c r="F385" s="16" t="s">
        <v>1023</v>
      </c>
      <c r="G385" s="16" t="s">
        <v>1028</v>
      </c>
      <c r="H385" s="21" t="s">
        <v>461</v>
      </c>
      <c r="I385" s="18" t="str">
        <f>RIGHT(H385,4)</f>
        <v xml:space="preserve"> 35F</v>
      </c>
      <c r="J385" s="22" t="s">
        <v>241</v>
      </c>
      <c r="K385" s="126">
        <f>+Tabla13[[#This Row],[PF TOTAL]]</f>
        <v>0</v>
      </c>
      <c r="L385" s="23"/>
      <c r="M385" s="126">
        <f>+Tabla134[[#This Row],[PF AJUSTE 1]]+Tabla134[[#This Row],[AJUSTE 2]]</f>
        <v>0</v>
      </c>
    </row>
    <row r="386" spans="2:13" ht="15" customHeight="1" x14ac:dyDescent="0.2">
      <c r="B386" s="16" t="s">
        <v>1002</v>
      </c>
      <c r="C386" s="16" t="s">
        <v>1006</v>
      </c>
      <c r="D386" s="16" t="s">
        <v>1048</v>
      </c>
      <c r="E386" s="16" t="s">
        <v>1021</v>
      </c>
      <c r="F386" s="16" t="s">
        <v>1023</v>
      </c>
      <c r="G386" s="16" t="s">
        <v>1028</v>
      </c>
      <c r="H386" s="21" t="s">
        <v>462</v>
      </c>
      <c r="I386" s="18" t="str">
        <f>RIGHT(H386,4)</f>
        <v xml:space="preserve"> 36F</v>
      </c>
      <c r="J386" s="22" t="s">
        <v>241</v>
      </c>
      <c r="K386" s="126">
        <f>+Tabla13[[#This Row],[PF TOTAL]]</f>
        <v>0</v>
      </c>
      <c r="L386" s="23"/>
      <c r="M386" s="126">
        <f>+Tabla134[[#This Row],[PF AJUSTE 1]]+Tabla134[[#This Row],[AJUSTE 2]]</f>
        <v>0</v>
      </c>
    </row>
    <row r="387" spans="2:13" s="13" customFormat="1" ht="15.75" customHeight="1" x14ac:dyDescent="0.25">
      <c r="B387" s="24"/>
      <c r="C387" s="24"/>
      <c r="D387" s="24"/>
      <c r="E387" s="24"/>
      <c r="F387" s="24"/>
      <c r="G387" s="24"/>
      <c r="H387" s="17" t="s">
        <v>463</v>
      </c>
      <c r="I387" s="18"/>
      <c r="J387" s="19" t="s">
        <v>267</v>
      </c>
      <c r="K387" s="156">
        <f>+K388</f>
        <v>0</v>
      </c>
      <c r="L387" s="156">
        <f t="shared" ref="L387:M388" si="158">+L388</f>
        <v>0</v>
      </c>
      <c r="M387" s="156">
        <f t="shared" si="158"/>
        <v>0</v>
      </c>
    </row>
    <row r="388" spans="2:13" s="13" customFormat="1" ht="15.75" customHeight="1" x14ac:dyDescent="0.25">
      <c r="B388" s="24"/>
      <c r="C388" s="24"/>
      <c r="D388" s="24"/>
      <c r="E388" s="24"/>
      <c r="F388" s="24"/>
      <c r="G388" s="24"/>
      <c r="H388" s="17" t="s">
        <v>464</v>
      </c>
      <c r="I388" s="18"/>
      <c r="J388" s="19" t="s">
        <v>271</v>
      </c>
      <c r="K388" s="156">
        <f>+K389</f>
        <v>0</v>
      </c>
      <c r="L388" s="156">
        <f t="shared" si="158"/>
        <v>0</v>
      </c>
      <c r="M388" s="156">
        <f t="shared" si="158"/>
        <v>0</v>
      </c>
    </row>
    <row r="389" spans="2:13" ht="15" customHeight="1" x14ac:dyDescent="0.2">
      <c r="B389" s="16" t="s">
        <v>1002</v>
      </c>
      <c r="C389" s="16" t="s">
        <v>1006</v>
      </c>
      <c r="D389" s="16" t="s">
        <v>1048</v>
      </c>
      <c r="E389" s="16" t="s">
        <v>1017</v>
      </c>
      <c r="F389" s="16" t="s">
        <v>1023</v>
      </c>
      <c r="G389" s="16" t="s">
        <v>1030</v>
      </c>
      <c r="H389" s="21" t="s">
        <v>465</v>
      </c>
      <c r="I389" s="18" t="str">
        <f>RIGHT(H389,4)</f>
        <v>32RB</v>
      </c>
      <c r="J389" s="22" t="s">
        <v>271</v>
      </c>
      <c r="K389" s="23">
        <v>0</v>
      </c>
      <c r="L389" s="23"/>
      <c r="M389" s="126">
        <f>+Tabla134[[#This Row],[PF AJUSTE 1]]+Tabla134[[#This Row],[AJUSTE 2]]</f>
        <v>0</v>
      </c>
    </row>
    <row r="390" spans="2:13" s="13" customFormat="1" ht="15.75" customHeight="1" x14ac:dyDescent="0.25">
      <c r="B390" s="24"/>
      <c r="C390" s="24"/>
      <c r="D390" s="24"/>
      <c r="E390" s="24"/>
      <c r="F390" s="24"/>
      <c r="G390" s="24"/>
      <c r="H390" s="17" t="s">
        <v>466</v>
      </c>
      <c r="I390" s="18"/>
      <c r="J390" s="19" t="s">
        <v>273</v>
      </c>
      <c r="K390" s="156">
        <f>+K391</f>
        <v>0</v>
      </c>
      <c r="L390" s="156">
        <f t="shared" ref="L390:M391" si="159">+L391</f>
        <v>0</v>
      </c>
      <c r="M390" s="156">
        <f t="shared" si="159"/>
        <v>0</v>
      </c>
    </row>
    <row r="391" spans="2:13" s="13" customFormat="1" ht="15.75" customHeight="1" x14ac:dyDescent="0.25">
      <c r="B391" s="24"/>
      <c r="C391" s="24"/>
      <c r="D391" s="24"/>
      <c r="E391" s="24"/>
      <c r="F391" s="24"/>
      <c r="G391" s="24"/>
      <c r="H391" s="17" t="s">
        <v>467</v>
      </c>
      <c r="I391" s="18"/>
      <c r="J391" s="19" t="s">
        <v>275</v>
      </c>
      <c r="K391" s="156">
        <f>+K392</f>
        <v>0</v>
      </c>
      <c r="L391" s="156">
        <f t="shared" si="159"/>
        <v>0</v>
      </c>
      <c r="M391" s="156">
        <f t="shared" si="159"/>
        <v>0</v>
      </c>
    </row>
    <row r="392" spans="2:13" ht="15" customHeight="1" x14ac:dyDescent="0.2">
      <c r="B392" s="16" t="s">
        <v>1002</v>
      </c>
      <c r="C392" s="16" t="s">
        <v>1006</v>
      </c>
      <c r="D392" s="16" t="s">
        <v>1048</v>
      </c>
      <c r="E392" s="16" t="s">
        <v>1021</v>
      </c>
      <c r="F392" s="16" t="s">
        <v>1023</v>
      </c>
      <c r="G392" s="16" t="s">
        <v>1031</v>
      </c>
      <c r="H392" s="21" t="s">
        <v>737</v>
      </c>
      <c r="I392" s="18" t="str">
        <f>RIGHT(H392,4)</f>
        <v>- 33</v>
      </c>
      <c r="J392" s="22" t="s">
        <v>275</v>
      </c>
      <c r="K392" s="126">
        <f>+Tabla13[[#This Row],[PF TOTAL]]</f>
        <v>0</v>
      </c>
      <c r="L392" s="23"/>
      <c r="M392" s="126">
        <f>+Tabla134[[#This Row],[PF AJUSTE 1]]+Tabla134[[#This Row],[AJUSTE 2]]</f>
        <v>0</v>
      </c>
    </row>
    <row r="393" spans="2:13" ht="31.5" customHeight="1" x14ac:dyDescent="0.25">
      <c r="B393" s="16"/>
      <c r="C393" s="16"/>
      <c r="D393" s="16"/>
      <c r="E393" s="16"/>
      <c r="F393" s="16"/>
      <c r="G393" s="16"/>
      <c r="H393" s="44">
        <v>30303</v>
      </c>
      <c r="I393" s="18"/>
      <c r="J393" s="43" t="s">
        <v>793</v>
      </c>
      <c r="K393" s="156">
        <f>+K394</f>
        <v>17635639023</v>
      </c>
      <c r="L393" s="156">
        <f t="shared" ref="L393:M393" si="160">+L394</f>
        <v>0</v>
      </c>
      <c r="M393" s="156">
        <f t="shared" si="160"/>
        <v>17635639023</v>
      </c>
    </row>
    <row r="394" spans="2:13" s="13" customFormat="1" ht="15.75" customHeight="1" x14ac:dyDescent="0.25">
      <c r="B394" s="24"/>
      <c r="C394" s="24"/>
      <c r="D394" s="24"/>
      <c r="E394" s="24"/>
      <c r="F394" s="24"/>
      <c r="G394" s="24"/>
      <c r="H394" s="17" t="s">
        <v>468</v>
      </c>
      <c r="I394" s="18"/>
      <c r="J394" s="19" t="s">
        <v>1</v>
      </c>
      <c r="K394" s="156">
        <f>+K395+K432</f>
        <v>17635639023</v>
      </c>
      <c r="L394" s="156">
        <f t="shared" ref="L394:M394" si="161">+L395+L432</f>
        <v>0</v>
      </c>
      <c r="M394" s="156">
        <f t="shared" si="161"/>
        <v>17635639023</v>
      </c>
    </row>
    <row r="395" spans="2:13" s="13" customFormat="1" ht="15.75" customHeight="1" x14ac:dyDescent="0.25">
      <c r="B395" s="24"/>
      <c r="C395" s="24"/>
      <c r="D395" s="24"/>
      <c r="E395" s="24"/>
      <c r="F395" s="24"/>
      <c r="G395" s="24"/>
      <c r="H395" s="17" t="s">
        <v>469</v>
      </c>
      <c r="I395" s="18"/>
      <c r="J395" s="19" t="s">
        <v>3</v>
      </c>
      <c r="K395" s="156">
        <f>+K396+K411</f>
        <v>17635639023</v>
      </c>
      <c r="L395" s="156">
        <f t="shared" ref="L395:M395" si="162">+L396+L411</f>
        <v>0</v>
      </c>
      <c r="M395" s="156">
        <f t="shared" si="162"/>
        <v>17635639023</v>
      </c>
    </row>
    <row r="396" spans="2:13" s="13" customFormat="1" ht="15.75" customHeight="1" x14ac:dyDescent="0.25">
      <c r="B396" s="24"/>
      <c r="C396" s="24"/>
      <c r="D396" s="24"/>
      <c r="E396" s="24"/>
      <c r="F396" s="24"/>
      <c r="G396" s="24"/>
      <c r="H396" s="17" t="s">
        <v>470</v>
      </c>
      <c r="I396" s="18"/>
      <c r="J396" s="19" t="s">
        <v>5</v>
      </c>
      <c r="K396" s="156">
        <f>+K397</f>
        <v>5200097925</v>
      </c>
      <c r="L396" s="156">
        <f t="shared" ref="L396:M396" si="163">+L397</f>
        <v>0</v>
      </c>
      <c r="M396" s="156">
        <f t="shared" si="163"/>
        <v>5200097925</v>
      </c>
    </row>
    <row r="397" spans="2:13" s="13" customFormat="1" ht="15.75" customHeight="1" x14ac:dyDescent="0.25">
      <c r="B397" s="24"/>
      <c r="C397" s="24"/>
      <c r="D397" s="24"/>
      <c r="E397" s="24"/>
      <c r="F397" s="24"/>
      <c r="G397" s="24"/>
      <c r="H397" s="17" t="s">
        <v>471</v>
      </c>
      <c r="I397" s="18"/>
      <c r="J397" s="19" t="s">
        <v>14</v>
      </c>
      <c r="K397" s="156">
        <f>+K398+K406</f>
        <v>5200097925</v>
      </c>
      <c r="L397" s="156">
        <f t="shared" ref="L397:M397" si="164">+L398+L406</f>
        <v>0</v>
      </c>
      <c r="M397" s="156">
        <f t="shared" si="164"/>
        <v>5200097925</v>
      </c>
    </row>
    <row r="398" spans="2:13" ht="15" customHeight="1" x14ac:dyDescent="0.2">
      <c r="B398" s="16"/>
      <c r="C398" s="16"/>
      <c r="D398" s="16"/>
      <c r="E398" s="16"/>
      <c r="F398" s="16"/>
      <c r="G398" s="16"/>
      <c r="H398" s="21" t="s">
        <v>472</v>
      </c>
      <c r="I398" s="18"/>
      <c r="J398" s="22" t="s">
        <v>29</v>
      </c>
      <c r="K398" s="157">
        <f>+K399</f>
        <v>751578099</v>
      </c>
      <c r="L398" s="157">
        <f t="shared" ref="L398:M398" si="165">+L399</f>
        <v>0</v>
      </c>
      <c r="M398" s="157">
        <f t="shared" si="165"/>
        <v>751578099</v>
      </c>
    </row>
    <row r="399" spans="2:13" ht="15" customHeight="1" x14ac:dyDescent="0.2">
      <c r="B399" s="16"/>
      <c r="C399" s="16"/>
      <c r="D399" s="16"/>
      <c r="E399" s="16"/>
      <c r="F399" s="16"/>
      <c r="G399" s="16"/>
      <c r="H399" s="21" t="s">
        <v>473</v>
      </c>
      <c r="I399" s="18"/>
      <c r="J399" s="22" t="s">
        <v>31</v>
      </c>
      <c r="K399" s="157">
        <f>+K400+K403</f>
        <v>751578099</v>
      </c>
      <c r="L399" s="157">
        <f t="shared" ref="L399:M399" si="166">+L400+L403</f>
        <v>0</v>
      </c>
      <c r="M399" s="157">
        <f t="shared" si="166"/>
        <v>751578099</v>
      </c>
    </row>
    <row r="400" spans="2:13" ht="30" customHeight="1" x14ac:dyDescent="0.2">
      <c r="B400" s="16"/>
      <c r="C400" s="16"/>
      <c r="D400" s="16"/>
      <c r="E400" s="16"/>
      <c r="F400" s="16"/>
      <c r="G400" s="16"/>
      <c r="H400" s="21" t="s">
        <v>474</v>
      </c>
      <c r="I400" s="18"/>
      <c r="J400" s="22" t="s">
        <v>33</v>
      </c>
      <c r="K400" s="157">
        <f>+K401+K402</f>
        <v>320371442</v>
      </c>
      <c r="L400" s="157">
        <f t="shared" ref="L400:M400" si="167">+L401+L402</f>
        <v>0</v>
      </c>
      <c r="M400" s="157">
        <f t="shared" si="167"/>
        <v>320371442</v>
      </c>
    </row>
    <row r="401" spans="2:13" ht="30" customHeight="1" x14ac:dyDescent="0.2">
      <c r="B401" s="16" t="s">
        <v>1002</v>
      </c>
      <c r="C401" s="16" t="s">
        <v>1006</v>
      </c>
      <c r="D401" s="16" t="s">
        <v>1049</v>
      </c>
      <c r="E401" s="16" t="s">
        <v>1021</v>
      </c>
      <c r="F401" s="16" t="s">
        <v>1022</v>
      </c>
      <c r="G401" s="16" t="s">
        <v>1025</v>
      </c>
      <c r="H401" s="21" t="s">
        <v>475</v>
      </c>
      <c r="I401" s="18" t="str">
        <f>RIGHT(H401,4)</f>
        <v xml:space="preserve"> 150</v>
      </c>
      <c r="J401" s="22" t="s">
        <v>35</v>
      </c>
      <c r="K401" s="126">
        <f>+Tabla13[[#This Row],[PF TOTAL]]</f>
        <v>124968007</v>
      </c>
      <c r="L401" s="23"/>
      <c r="M401" s="126">
        <f>+Tabla134[[#This Row],[PF AJUSTE 1]]+Tabla134[[#This Row],[AJUSTE 2]]</f>
        <v>124968007</v>
      </c>
    </row>
    <row r="402" spans="2:13" ht="15.6" customHeight="1" x14ac:dyDescent="0.2">
      <c r="B402" s="16" t="s">
        <v>1002</v>
      </c>
      <c r="C402" s="16" t="s">
        <v>1006</v>
      </c>
      <c r="D402" s="16" t="s">
        <v>1049</v>
      </c>
      <c r="E402" s="16" t="s">
        <v>1021</v>
      </c>
      <c r="F402" s="16" t="s">
        <v>1022</v>
      </c>
      <c r="G402" s="16" t="s">
        <v>1025</v>
      </c>
      <c r="H402" s="21" t="s">
        <v>476</v>
      </c>
      <c r="I402" s="18" t="str">
        <f>RIGHT(H402,4)</f>
        <v xml:space="preserve"> 150</v>
      </c>
      <c r="J402" s="22" t="s">
        <v>38</v>
      </c>
      <c r="K402" s="126">
        <f>+Tabla13[[#This Row],[PF TOTAL]]</f>
        <v>195403435</v>
      </c>
      <c r="L402" s="23"/>
      <c r="M402" s="126">
        <f>+Tabla134[[#This Row],[PF AJUSTE 1]]+Tabla134[[#This Row],[AJUSTE 2]]</f>
        <v>195403435</v>
      </c>
    </row>
    <row r="403" spans="2:13" ht="30" customHeight="1" x14ac:dyDescent="0.2">
      <c r="B403" s="16"/>
      <c r="C403" s="16"/>
      <c r="D403" s="16"/>
      <c r="E403" s="16"/>
      <c r="F403" s="16"/>
      <c r="G403" s="16"/>
      <c r="H403" s="21" t="s">
        <v>477</v>
      </c>
      <c r="I403" s="18"/>
      <c r="J403" s="22" t="s">
        <v>41</v>
      </c>
      <c r="K403" s="157">
        <f>+K404+K405</f>
        <v>431206657</v>
      </c>
      <c r="L403" s="157">
        <f t="shared" ref="L403:M403" si="168">+L404+L405</f>
        <v>0</v>
      </c>
      <c r="M403" s="157">
        <f t="shared" si="168"/>
        <v>431206657</v>
      </c>
    </row>
    <row r="404" spans="2:13" ht="30" customHeight="1" x14ac:dyDescent="0.2">
      <c r="B404" s="16" t="s">
        <v>1002</v>
      </c>
      <c r="C404" s="16" t="s">
        <v>1006</v>
      </c>
      <c r="D404" s="16" t="s">
        <v>1049</v>
      </c>
      <c r="E404" s="16" t="s">
        <v>1021</v>
      </c>
      <c r="F404" s="16" t="s">
        <v>1022</v>
      </c>
      <c r="G404" s="16" t="s">
        <v>1025</v>
      </c>
      <c r="H404" s="21" t="s">
        <v>478</v>
      </c>
      <c r="I404" s="18" t="str">
        <f>RIGHT(H404,4)</f>
        <v xml:space="preserve"> 150</v>
      </c>
      <c r="J404" s="22" t="s">
        <v>43</v>
      </c>
      <c r="K404" s="126">
        <f>+Tabla13[[#This Row],[PF TOTAL]]</f>
        <v>138101501</v>
      </c>
      <c r="L404" s="23"/>
      <c r="M404" s="126">
        <f>+Tabla134[[#This Row],[PF AJUSTE 1]]+Tabla134[[#This Row],[AJUSTE 2]]</f>
        <v>138101501</v>
      </c>
    </row>
    <row r="405" spans="2:13" ht="18.600000000000001" customHeight="1" x14ac:dyDescent="0.2">
      <c r="B405" s="16" t="s">
        <v>1002</v>
      </c>
      <c r="C405" s="16" t="s">
        <v>1006</v>
      </c>
      <c r="D405" s="16" t="s">
        <v>1049</v>
      </c>
      <c r="E405" s="16" t="s">
        <v>1021</v>
      </c>
      <c r="F405" s="16" t="s">
        <v>1022</v>
      </c>
      <c r="G405" s="16" t="s">
        <v>1025</v>
      </c>
      <c r="H405" s="21" t="s">
        <v>479</v>
      </c>
      <c r="I405" s="18" t="str">
        <f>RIGHT(H405,4)</f>
        <v xml:space="preserve"> 150</v>
      </c>
      <c r="J405" s="22" t="s">
        <v>46</v>
      </c>
      <c r="K405" s="126">
        <f>+Tabla13[[#This Row],[PF TOTAL]]</f>
        <v>293105156</v>
      </c>
      <c r="L405" s="23"/>
      <c r="M405" s="126">
        <f>+Tabla134[[#This Row],[PF AJUSTE 1]]+Tabla134[[#This Row],[AJUSTE 2]]</f>
        <v>293105156</v>
      </c>
    </row>
    <row r="406" spans="2:13" ht="15" customHeight="1" x14ac:dyDescent="0.2">
      <c r="B406" s="16"/>
      <c r="C406" s="16"/>
      <c r="D406" s="16"/>
      <c r="E406" s="16"/>
      <c r="F406" s="16"/>
      <c r="G406" s="16"/>
      <c r="H406" s="21" t="s">
        <v>480</v>
      </c>
      <c r="I406" s="18"/>
      <c r="J406" s="22" t="s">
        <v>49</v>
      </c>
      <c r="K406" s="157">
        <f>+K407+K409</f>
        <v>4448519826</v>
      </c>
      <c r="L406" s="157">
        <f t="shared" ref="L406:M406" si="169">+L407+L409</f>
        <v>0</v>
      </c>
      <c r="M406" s="157">
        <f t="shared" si="169"/>
        <v>4448519826</v>
      </c>
    </row>
    <row r="407" spans="2:13" ht="15" customHeight="1" x14ac:dyDescent="0.2">
      <c r="B407" s="16"/>
      <c r="C407" s="16"/>
      <c r="D407" s="16"/>
      <c r="E407" s="16"/>
      <c r="F407" s="16"/>
      <c r="G407" s="16"/>
      <c r="H407" s="21" t="s">
        <v>481</v>
      </c>
      <c r="I407" s="18"/>
      <c r="J407" s="22" t="s">
        <v>51</v>
      </c>
      <c r="K407" s="157">
        <f>+K408</f>
        <v>4446770946</v>
      </c>
      <c r="L407" s="157">
        <f t="shared" ref="L407:M407" si="170">+L408</f>
        <v>0</v>
      </c>
      <c r="M407" s="157">
        <f t="shared" si="170"/>
        <v>4446770946</v>
      </c>
    </row>
    <row r="408" spans="2:13" ht="15" customHeight="1" x14ac:dyDescent="0.2">
      <c r="B408" s="16" t="s">
        <v>1002</v>
      </c>
      <c r="C408" s="16" t="s">
        <v>1006</v>
      </c>
      <c r="D408" s="16" t="s">
        <v>1049</v>
      </c>
      <c r="E408" s="16" t="s">
        <v>1021</v>
      </c>
      <c r="F408" s="16" t="s">
        <v>1022</v>
      </c>
      <c r="G408" s="16" t="s">
        <v>1025</v>
      </c>
      <c r="H408" s="21" t="s">
        <v>482</v>
      </c>
      <c r="I408" s="18" t="str">
        <f>RIGHT(H408,4)</f>
        <v>- 29</v>
      </c>
      <c r="J408" s="22" t="s">
        <v>51</v>
      </c>
      <c r="K408" s="126">
        <f>+Tabla13[[#This Row],[PF TOTAL]]</f>
        <v>4446770946</v>
      </c>
      <c r="L408" s="23"/>
      <c r="M408" s="126">
        <f>+Tabla134[[#This Row],[PF AJUSTE 1]]+Tabla134[[#This Row],[AJUSTE 2]]</f>
        <v>4446770946</v>
      </c>
    </row>
    <row r="409" spans="2:13" ht="15" customHeight="1" x14ac:dyDescent="0.2">
      <c r="B409" s="16"/>
      <c r="C409" s="16"/>
      <c r="D409" s="16"/>
      <c r="E409" s="16"/>
      <c r="F409" s="16"/>
      <c r="G409" s="16"/>
      <c r="H409" s="21" t="s">
        <v>483</v>
      </c>
      <c r="I409" s="18"/>
      <c r="J409" s="22" t="s">
        <v>54</v>
      </c>
      <c r="K409" s="157">
        <f>+K410</f>
        <v>1748880</v>
      </c>
      <c r="L409" s="157">
        <f t="shared" ref="L409:M409" si="171">+L410</f>
        <v>0</v>
      </c>
      <c r="M409" s="157">
        <f t="shared" si="171"/>
        <v>1748880</v>
      </c>
    </row>
    <row r="410" spans="2:13" ht="15" customHeight="1" x14ac:dyDescent="0.2">
      <c r="B410" s="16" t="s">
        <v>1002</v>
      </c>
      <c r="C410" s="16" t="s">
        <v>1006</v>
      </c>
      <c r="D410" s="16" t="s">
        <v>1049</v>
      </c>
      <c r="E410" s="16" t="s">
        <v>1021</v>
      </c>
      <c r="F410" s="16" t="s">
        <v>1022</v>
      </c>
      <c r="G410" s="16" t="s">
        <v>1025</v>
      </c>
      <c r="H410" s="21" t="s">
        <v>484</v>
      </c>
      <c r="I410" s="18" t="str">
        <f>RIGHT(H410,4)</f>
        <v>- 29</v>
      </c>
      <c r="J410" s="22" t="s">
        <v>54</v>
      </c>
      <c r="K410" s="126">
        <f>+Tabla13[[#This Row],[PF TOTAL]]</f>
        <v>1748880</v>
      </c>
      <c r="L410" s="23"/>
      <c r="M410" s="126">
        <f>+Tabla134[[#This Row],[PF AJUSTE 1]]+Tabla134[[#This Row],[AJUSTE 2]]</f>
        <v>1748880</v>
      </c>
    </row>
    <row r="411" spans="2:13" s="13" customFormat="1" ht="15.75" customHeight="1" x14ac:dyDescent="0.25">
      <c r="B411" s="24"/>
      <c r="C411" s="24"/>
      <c r="D411" s="24"/>
      <c r="E411" s="24"/>
      <c r="F411" s="24"/>
      <c r="G411" s="24"/>
      <c r="H411" s="17" t="s">
        <v>485</v>
      </c>
      <c r="I411" s="18"/>
      <c r="J411" s="19" t="s">
        <v>86</v>
      </c>
      <c r="K411" s="156">
        <f>+K412+K417</f>
        <v>12435541098</v>
      </c>
      <c r="L411" s="156">
        <f t="shared" ref="L411:M411" si="172">+L412+L417</f>
        <v>0</v>
      </c>
      <c r="M411" s="156">
        <f t="shared" si="172"/>
        <v>12435541098</v>
      </c>
    </row>
    <row r="412" spans="2:13" s="13" customFormat="1" ht="15.75" customHeight="1" x14ac:dyDescent="0.25">
      <c r="B412" s="24"/>
      <c r="C412" s="24"/>
      <c r="D412" s="24"/>
      <c r="E412" s="24"/>
      <c r="F412" s="24"/>
      <c r="G412" s="24"/>
      <c r="H412" s="17" t="s">
        <v>486</v>
      </c>
      <c r="I412" s="18"/>
      <c r="J412" s="19" t="s">
        <v>164</v>
      </c>
      <c r="K412" s="156">
        <f>+K413</f>
        <v>9252949350</v>
      </c>
      <c r="L412" s="156">
        <f t="shared" ref="L412:M415" si="173">+L413</f>
        <v>0</v>
      </c>
      <c r="M412" s="156">
        <f t="shared" si="173"/>
        <v>9252949350</v>
      </c>
    </row>
    <row r="413" spans="2:13" ht="15" customHeight="1" x14ac:dyDescent="0.2">
      <c r="B413" s="16"/>
      <c r="C413" s="16"/>
      <c r="D413" s="16"/>
      <c r="E413" s="16"/>
      <c r="F413" s="16"/>
      <c r="G413" s="16"/>
      <c r="H413" s="21" t="s">
        <v>487</v>
      </c>
      <c r="I413" s="18"/>
      <c r="J413" s="22" t="s">
        <v>166</v>
      </c>
      <c r="K413" s="157">
        <f>+K414</f>
        <v>9252949350</v>
      </c>
      <c r="L413" s="157">
        <f t="shared" si="173"/>
        <v>0</v>
      </c>
      <c r="M413" s="157">
        <f t="shared" si="173"/>
        <v>9252949350</v>
      </c>
    </row>
    <row r="414" spans="2:13" ht="15" customHeight="1" x14ac:dyDescent="0.2">
      <c r="B414" s="16"/>
      <c r="C414" s="16"/>
      <c r="D414" s="16"/>
      <c r="E414" s="16"/>
      <c r="F414" s="16"/>
      <c r="G414" s="16"/>
      <c r="H414" s="21" t="s">
        <v>488</v>
      </c>
      <c r="I414" s="18"/>
      <c r="J414" s="22" t="s">
        <v>442</v>
      </c>
      <c r="K414" s="157">
        <f>+K415</f>
        <v>9252949350</v>
      </c>
      <c r="L414" s="157">
        <f t="shared" si="173"/>
        <v>0</v>
      </c>
      <c r="M414" s="157">
        <f t="shared" si="173"/>
        <v>9252949350</v>
      </c>
    </row>
    <row r="415" spans="2:13" ht="15" customHeight="1" x14ac:dyDescent="0.2">
      <c r="B415" s="16"/>
      <c r="C415" s="16"/>
      <c r="D415" s="16"/>
      <c r="E415" s="16"/>
      <c r="F415" s="16"/>
      <c r="G415" s="16"/>
      <c r="H415" s="21" t="s">
        <v>489</v>
      </c>
      <c r="I415" s="18"/>
      <c r="J415" s="22" t="s">
        <v>490</v>
      </c>
      <c r="K415" s="157">
        <f>+K416</f>
        <v>9252949350</v>
      </c>
      <c r="L415" s="157">
        <f t="shared" si="173"/>
        <v>0</v>
      </c>
      <c r="M415" s="157">
        <f t="shared" si="173"/>
        <v>9252949350</v>
      </c>
    </row>
    <row r="416" spans="2:13" ht="15" customHeight="1" x14ac:dyDescent="0.2">
      <c r="B416" s="16" t="s">
        <v>1002</v>
      </c>
      <c r="C416" s="16" t="s">
        <v>1006</v>
      </c>
      <c r="D416" s="16" t="s">
        <v>1049</v>
      </c>
      <c r="E416" s="16" t="s">
        <v>1017</v>
      </c>
      <c r="F416" s="16" t="s">
        <v>1022</v>
      </c>
      <c r="G416" s="16" t="s">
        <v>1025</v>
      </c>
      <c r="H416" s="21" t="s">
        <v>491</v>
      </c>
      <c r="I416" s="18" t="str">
        <f>RIGHT(H416,4)</f>
        <v>- 30</v>
      </c>
      <c r="J416" s="22" t="s">
        <v>490</v>
      </c>
      <c r="K416" s="126">
        <f>+Tabla13[[#This Row],[PF TOTAL]]</f>
        <v>9252949350</v>
      </c>
      <c r="L416" s="23"/>
      <c r="M416" s="126">
        <f>+Tabla134[[#This Row],[PF AJUSTE 1]]+Tabla134[[#This Row],[AJUSTE 2]]</f>
        <v>9252949350</v>
      </c>
    </row>
    <row r="417" spans="2:13" s="13" customFormat="1" ht="15.75" customHeight="1" x14ac:dyDescent="0.25">
      <c r="B417" s="24"/>
      <c r="C417" s="24"/>
      <c r="D417" s="24"/>
      <c r="E417" s="24"/>
      <c r="F417" s="24"/>
      <c r="G417" s="24"/>
      <c r="H417" s="17" t="s">
        <v>492</v>
      </c>
      <c r="I417" s="18"/>
      <c r="J417" s="19" t="s">
        <v>195</v>
      </c>
      <c r="K417" s="156">
        <f>+K418</f>
        <v>3182591748</v>
      </c>
      <c r="L417" s="156">
        <f t="shared" ref="L417:M418" si="174">+L418</f>
        <v>0</v>
      </c>
      <c r="M417" s="156">
        <f t="shared" si="174"/>
        <v>3182591748</v>
      </c>
    </row>
    <row r="418" spans="2:13" ht="30" customHeight="1" x14ac:dyDescent="0.2">
      <c r="B418" s="16"/>
      <c r="C418" s="16"/>
      <c r="D418" s="16"/>
      <c r="E418" s="16"/>
      <c r="F418" s="16"/>
      <c r="G418" s="16"/>
      <c r="H418" s="21" t="s">
        <v>493</v>
      </c>
      <c r="I418" s="18"/>
      <c r="J418" s="22" t="s">
        <v>197</v>
      </c>
      <c r="K418" s="157">
        <f>+K419</f>
        <v>3182591748</v>
      </c>
      <c r="L418" s="157">
        <f t="shared" si="174"/>
        <v>0</v>
      </c>
      <c r="M418" s="157">
        <f t="shared" si="174"/>
        <v>3182591748</v>
      </c>
    </row>
    <row r="419" spans="2:13" ht="30" customHeight="1" x14ac:dyDescent="0.2">
      <c r="B419" s="16"/>
      <c r="C419" s="16"/>
      <c r="D419" s="16"/>
      <c r="E419" s="16"/>
      <c r="F419" s="16"/>
      <c r="G419" s="16"/>
      <c r="H419" s="21" t="s">
        <v>494</v>
      </c>
      <c r="I419" s="18"/>
      <c r="J419" s="22" t="s">
        <v>199</v>
      </c>
      <c r="K419" s="157">
        <f>+K420+K425</f>
        <v>3182591748</v>
      </c>
      <c r="L419" s="157">
        <f t="shared" ref="L419:M419" si="175">+L420+L425</f>
        <v>0</v>
      </c>
      <c r="M419" s="157">
        <f t="shared" si="175"/>
        <v>3182591748</v>
      </c>
    </row>
    <row r="420" spans="2:13" ht="15" customHeight="1" x14ac:dyDescent="0.2">
      <c r="B420" s="16"/>
      <c r="C420" s="16"/>
      <c r="D420" s="16"/>
      <c r="E420" s="16"/>
      <c r="F420" s="16"/>
      <c r="G420" s="16"/>
      <c r="H420" s="21" t="s">
        <v>495</v>
      </c>
      <c r="I420" s="18"/>
      <c r="J420" s="22" t="s">
        <v>201</v>
      </c>
      <c r="K420" s="157">
        <f>+K421+K423</f>
        <v>175245118</v>
      </c>
      <c r="L420" s="157">
        <f t="shared" ref="L420:M420" si="176">+L421+L423</f>
        <v>0</v>
      </c>
      <c r="M420" s="157">
        <f t="shared" si="176"/>
        <v>175245118</v>
      </c>
    </row>
    <row r="421" spans="2:13" ht="30" customHeight="1" x14ac:dyDescent="0.2">
      <c r="B421" s="16"/>
      <c r="C421" s="16"/>
      <c r="D421" s="16"/>
      <c r="E421" s="16"/>
      <c r="F421" s="16"/>
      <c r="G421" s="16"/>
      <c r="H421" s="21" t="s">
        <v>496</v>
      </c>
      <c r="I421" s="18"/>
      <c r="J421" s="22" t="s">
        <v>203</v>
      </c>
      <c r="K421" s="157">
        <f>+K422</f>
        <v>124184943</v>
      </c>
      <c r="L421" s="157">
        <f t="shared" ref="L421:M421" si="177">+L422</f>
        <v>0</v>
      </c>
      <c r="M421" s="157">
        <f t="shared" si="177"/>
        <v>124184943</v>
      </c>
    </row>
    <row r="422" spans="2:13" ht="30" customHeight="1" x14ac:dyDescent="0.2">
      <c r="B422" s="16" t="s">
        <v>1002</v>
      </c>
      <c r="C422" s="16" t="s">
        <v>1006</v>
      </c>
      <c r="D422" s="16" t="s">
        <v>1049</v>
      </c>
      <c r="E422" s="16" t="s">
        <v>1021</v>
      </c>
      <c r="F422" s="16" t="s">
        <v>1022</v>
      </c>
      <c r="G422" s="16" t="s">
        <v>1025</v>
      </c>
      <c r="H422" s="21" t="s">
        <v>497</v>
      </c>
      <c r="I422" s="18" t="str">
        <f>RIGHT(H422,4)</f>
        <v xml:space="preserve"> 150</v>
      </c>
      <c r="J422" s="22" t="s">
        <v>203</v>
      </c>
      <c r="K422" s="126">
        <f>+Tabla13[[#This Row],[PF TOTAL]]</f>
        <v>124184943</v>
      </c>
      <c r="L422" s="23"/>
      <c r="M422" s="126">
        <f>+Tabla134[[#This Row],[PF AJUSTE 1]]+Tabla134[[#This Row],[AJUSTE 2]]</f>
        <v>124184943</v>
      </c>
    </row>
    <row r="423" spans="2:13" ht="30" customHeight="1" x14ac:dyDescent="0.2">
      <c r="B423" s="16"/>
      <c r="C423" s="16"/>
      <c r="D423" s="16"/>
      <c r="E423" s="16"/>
      <c r="F423" s="16"/>
      <c r="G423" s="16"/>
      <c r="H423" s="21" t="s">
        <v>498</v>
      </c>
      <c r="I423" s="18"/>
      <c r="J423" s="22" t="s">
        <v>207</v>
      </c>
      <c r="K423" s="157">
        <f>+K424</f>
        <v>51060175</v>
      </c>
      <c r="L423" s="157">
        <f t="shared" ref="L423:M423" si="178">+L424</f>
        <v>0</v>
      </c>
      <c r="M423" s="157">
        <f t="shared" si="178"/>
        <v>51060175</v>
      </c>
    </row>
    <row r="424" spans="2:13" ht="30" customHeight="1" x14ac:dyDescent="0.2">
      <c r="B424" s="16" t="s">
        <v>1002</v>
      </c>
      <c r="C424" s="16" t="s">
        <v>1006</v>
      </c>
      <c r="D424" s="16" t="s">
        <v>1049</v>
      </c>
      <c r="E424" s="16" t="s">
        <v>1021</v>
      </c>
      <c r="F424" s="16" t="s">
        <v>1022</v>
      </c>
      <c r="G424" s="16" t="s">
        <v>1025</v>
      </c>
      <c r="H424" s="21" t="s">
        <v>499</v>
      </c>
      <c r="I424" s="18" t="str">
        <f>RIGHT(H424,4)</f>
        <v xml:space="preserve"> 150</v>
      </c>
      <c r="J424" s="22" t="s">
        <v>207</v>
      </c>
      <c r="K424" s="126">
        <f>+Tabla13[[#This Row],[PF TOTAL]]</f>
        <v>51060175</v>
      </c>
      <c r="L424" s="23"/>
      <c r="M424" s="126">
        <f>+Tabla134[[#This Row],[PF AJUSTE 1]]+Tabla134[[#This Row],[AJUSTE 2]]</f>
        <v>51060175</v>
      </c>
    </row>
    <row r="425" spans="2:13" ht="15" customHeight="1" x14ac:dyDescent="0.2">
      <c r="B425" s="16"/>
      <c r="C425" s="16"/>
      <c r="D425" s="16"/>
      <c r="E425" s="16"/>
      <c r="F425" s="16"/>
      <c r="G425" s="16"/>
      <c r="H425" s="21" t="s">
        <v>500</v>
      </c>
      <c r="I425" s="18"/>
      <c r="J425" s="22" t="s">
        <v>211</v>
      </c>
      <c r="K425" s="157">
        <f>+K426</f>
        <v>3007346630</v>
      </c>
      <c r="L425" s="157">
        <f t="shared" ref="L425:M425" si="179">+L426</f>
        <v>0</v>
      </c>
      <c r="M425" s="157">
        <f t="shared" si="179"/>
        <v>3007346630</v>
      </c>
    </row>
    <row r="426" spans="2:13" ht="15" customHeight="1" x14ac:dyDescent="0.2">
      <c r="B426" s="16"/>
      <c r="C426" s="16"/>
      <c r="D426" s="16"/>
      <c r="E426" s="16"/>
      <c r="F426" s="16"/>
      <c r="G426" s="16"/>
      <c r="H426" s="21" t="s">
        <v>501</v>
      </c>
      <c r="I426" s="18"/>
      <c r="J426" s="22" t="s">
        <v>213</v>
      </c>
      <c r="K426" s="157">
        <f>+K427+K429</f>
        <v>3007346630</v>
      </c>
      <c r="L426" s="157">
        <f t="shared" ref="L426:M426" si="180">+L427+L429</f>
        <v>0</v>
      </c>
      <c r="M426" s="157">
        <f t="shared" si="180"/>
        <v>3007346630</v>
      </c>
    </row>
    <row r="427" spans="2:13" ht="30" customHeight="1" x14ac:dyDescent="0.2">
      <c r="B427" s="16"/>
      <c r="C427" s="16"/>
      <c r="D427" s="16"/>
      <c r="E427" s="16"/>
      <c r="F427" s="16"/>
      <c r="G427" s="16"/>
      <c r="H427" s="21" t="s">
        <v>502</v>
      </c>
      <c r="I427" s="18"/>
      <c r="J427" s="22" t="s">
        <v>215</v>
      </c>
      <c r="K427" s="157">
        <f>+K428</f>
        <v>1995824348</v>
      </c>
      <c r="L427" s="157">
        <f t="shared" ref="L427:M427" si="181">+L428</f>
        <v>0</v>
      </c>
      <c r="M427" s="157">
        <f t="shared" si="181"/>
        <v>1995824348</v>
      </c>
    </row>
    <row r="428" spans="2:13" ht="30" customHeight="1" x14ac:dyDescent="0.2">
      <c r="B428" s="16" t="s">
        <v>1002</v>
      </c>
      <c r="C428" s="16" t="s">
        <v>1006</v>
      </c>
      <c r="D428" s="16" t="s">
        <v>1049</v>
      </c>
      <c r="E428" s="16" t="s">
        <v>1021</v>
      </c>
      <c r="F428" s="16" t="s">
        <v>1022</v>
      </c>
      <c r="G428" s="16" t="s">
        <v>1025</v>
      </c>
      <c r="H428" s="21" t="s">
        <v>503</v>
      </c>
      <c r="I428" s="18" t="str">
        <f>RIGHT(H428,4)</f>
        <v xml:space="preserve"> 150</v>
      </c>
      <c r="J428" s="22" t="s">
        <v>215</v>
      </c>
      <c r="K428" s="126">
        <f>+Tabla13[[#This Row],[PF TOTAL]]</f>
        <v>1995824348</v>
      </c>
      <c r="L428" s="23"/>
      <c r="M428" s="126">
        <f>+Tabla134[[#This Row],[PF AJUSTE 1]]+Tabla134[[#This Row],[AJUSTE 2]]</f>
        <v>1995824348</v>
      </c>
    </row>
    <row r="429" spans="2:13" ht="30" customHeight="1" x14ac:dyDescent="0.2">
      <c r="B429" s="16"/>
      <c r="C429" s="16"/>
      <c r="D429" s="16"/>
      <c r="E429" s="16"/>
      <c r="F429" s="16"/>
      <c r="G429" s="16"/>
      <c r="H429" s="21" t="s">
        <v>504</v>
      </c>
      <c r="I429" s="18"/>
      <c r="J429" s="22" t="s">
        <v>219</v>
      </c>
      <c r="K429" s="157">
        <f>+K430</f>
        <v>1011522282</v>
      </c>
      <c r="L429" s="157">
        <f t="shared" ref="L429:M430" si="182">+L430</f>
        <v>0</v>
      </c>
      <c r="M429" s="157">
        <f t="shared" si="182"/>
        <v>1011522282</v>
      </c>
    </row>
    <row r="430" spans="2:13" ht="30" customHeight="1" x14ac:dyDescent="0.2">
      <c r="B430" s="16"/>
      <c r="C430" s="16"/>
      <c r="D430" s="16"/>
      <c r="E430" s="16"/>
      <c r="F430" s="16"/>
      <c r="G430" s="16"/>
      <c r="H430" s="21" t="s">
        <v>505</v>
      </c>
      <c r="I430" s="18"/>
      <c r="J430" s="22" t="s">
        <v>221</v>
      </c>
      <c r="K430" s="157">
        <f>+K431</f>
        <v>1011522282</v>
      </c>
      <c r="L430" s="157">
        <f t="shared" si="182"/>
        <v>0</v>
      </c>
      <c r="M430" s="157">
        <f t="shared" si="182"/>
        <v>1011522282</v>
      </c>
    </row>
    <row r="431" spans="2:13" ht="30" customHeight="1" x14ac:dyDescent="0.2">
      <c r="B431" s="16" t="s">
        <v>1002</v>
      </c>
      <c r="C431" s="16" t="s">
        <v>1006</v>
      </c>
      <c r="D431" s="16" t="s">
        <v>1049</v>
      </c>
      <c r="E431" s="16" t="s">
        <v>1021</v>
      </c>
      <c r="F431" s="16" t="s">
        <v>1022</v>
      </c>
      <c r="G431" s="16" t="s">
        <v>1025</v>
      </c>
      <c r="H431" s="21" t="s">
        <v>506</v>
      </c>
      <c r="I431" s="18" t="str">
        <f>RIGHT(H431,4)</f>
        <v xml:space="preserve"> 150</v>
      </c>
      <c r="J431" s="22" t="s">
        <v>221</v>
      </c>
      <c r="K431" s="126">
        <f>+Tabla13[[#This Row],[PF TOTAL]]</f>
        <v>1011522282</v>
      </c>
      <c r="L431" s="23"/>
      <c r="M431" s="126">
        <f>+Tabla134[[#This Row],[PF AJUSTE 1]]+Tabla134[[#This Row],[AJUSTE 2]]</f>
        <v>1011522282</v>
      </c>
    </row>
    <row r="432" spans="2:13" s="13" customFormat="1" ht="15.75" customHeight="1" x14ac:dyDescent="0.25">
      <c r="B432" s="24"/>
      <c r="C432" s="24"/>
      <c r="D432" s="24"/>
      <c r="E432" s="24"/>
      <c r="F432" s="24"/>
      <c r="G432" s="24"/>
      <c r="H432" s="17" t="s">
        <v>507</v>
      </c>
      <c r="I432" s="18"/>
      <c r="J432" s="19" t="s">
        <v>225</v>
      </c>
      <c r="K432" s="156">
        <f>+K433+K438+K451</f>
        <v>0</v>
      </c>
      <c r="L432" s="156">
        <f t="shared" ref="L432:M432" si="183">+L433+L438+L451</f>
        <v>0</v>
      </c>
      <c r="M432" s="156">
        <f t="shared" si="183"/>
        <v>0</v>
      </c>
    </row>
    <row r="433" spans="2:13" s="13" customFormat="1" ht="15.75" customHeight="1" x14ac:dyDescent="0.25">
      <c r="B433" s="24"/>
      <c r="C433" s="24"/>
      <c r="D433" s="24"/>
      <c r="E433" s="24"/>
      <c r="F433" s="24"/>
      <c r="G433" s="24"/>
      <c r="H433" s="17" t="s">
        <v>508</v>
      </c>
      <c r="I433" s="18"/>
      <c r="J433" s="19" t="s">
        <v>239</v>
      </c>
      <c r="K433" s="156">
        <f>+K434</f>
        <v>0</v>
      </c>
      <c r="L433" s="156">
        <f t="shared" ref="L433:M433" si="184">+L434</f>
        <v>0</v>
      </c>
      <c r="M433" s="156">
        <f t="shared" si="184"/>
        <v>0</v>
      </c>
    </row>
    <row r="434" spans="2:13" s="13" customFormat="1" ht="15.75" customHeight="1" x14ac:dyDescent="0.25">
      <c r="B434" s="24"/>
      <c r="C434" s="24"/>
      <c r="D434" s="24"/>
      <c r="E434" s="24"/>
      <c r="F434" s="24"/>
      <c r="G434" s="24"/>
      <c r="H434" s="17" t="s">
        <v>509</v>
      </c>
      <c r="I434" s="18"/>
      <c r="J434" s="19" t="s">
        <v>241</v>
      </c>
      <c r="K434" s="156">
        <f>SUM(K435:K437)</f>
        <v>0</v>
      </c>
      <c r="L434" s="156">
        <f t="shared" ref="L434:M434" si="185">SUM(L435:L437)</f>
        <v>0</v>
      </c>
      <c r="M434" s="156">
        <f t="shared" si="185"/>
        <v>0</v>
      </c>
    </row>
    <row r="435" spans="2:13" ht="15" customHeight="1" x14ac:dyDescent="0.2">
      <c r="B435" s="16" t="s">
        <v>1002</v>
      </c>
      <c r="C435" s="16" t="s">
        <v>1006</v>
      </c>
      <c r="D435" s="16" t="s">
        <v>1049</v>
      </c>
      <c r="E435" s="16" t="s">
        <v>1021</v>
      </c>
      <c r="F435" s="16" t="s">
        <v>1023</v>
      </c>
      <c r="G435" s="16" t="s">
        <v>1028</v>
      </c>
      <c r="H435" s="21" t="s">
        <v>510</v>
      </c>
      <c r="I435" s="18" t="str">
        <f>RIGHT(H435,4)</f>
        <v>150F</v>
      </c>
      <c r="J435" s="22" t="s">
        <v>241</v>
      </c>
      <c r="K435" s="126">
        <f>+Tabla13[[#This Row],[PF TOTAL]]</f>
        <v>0</v>
      </c>
      <c r="L435" s="23"/>
      <c r="M435" s="126">
        <f>+Tabla134[[#This Row],[PF AJUSTE 1]]+Tabla134[[#This Row],[AJUSTE 2]]</f>
        <v>0</v>
      </c>
    </row>
    <row r="436" spans="2:13" ht="15" customHeight="1" x14ac:dyDescent="0.2">
      <c r="B436" s="16" t="s">
        <v>1002</v>
      </c>
      <c r="C436" s="16" t="s">
        <v>1006</v>
      </c>
      <c r="D436" s="16" t="s">
        <v>1049</v>
      </c>
      <c r="E436" s="16" t="s">
        <v>1021</v>
      </c>
      <c r="F436" s="16" t="s">
        <v>1023</v>
      </c>
      <c r="G436" s="16" t="s">
        <v>1028</v>
      </c>
      <c r="H436" s="21" t="s">
        <v>511</v>
      </c>
      <c r="I436" s="18" t="str">
        <f>RIGHT(H436,4)</f>
        <v xml:space="preserve"> 29F</v>
      </c>
      <c r="J436" s="22" t="s">
        <v>241</v>
      </c>
      <c r="K436" s="126">
        <f>+Tabla13[[#This Row],[PF TOTAL]]</f>
        <v>0</v>
      </c>
      <c r="L436" s="23"/>
      <c r="M436" s="126">
        <f>+Tabla134[[#This Row],[PF AJUSTE 1]]+Tabla134[[#This Row],[AJUSTE 2]]</f>
        <v>0</v>
      </c>
    </row>
    <row r="437" spans="2:13" ht="15" customHeight="1" x14ac:dyDescent="0.2">
      <c r="B437" s="16" t="s">
        <v>1002</v>
      </c>
      <c r="C437" s="16" t="s">
        <v>1006</v>
      </c>
      <c r="D437" s="16" t="s">
        <v>1049</v>
      </c>
      <c r="E437" s="16" t="s">
        <v>1017</v>
      </c>
      <c r="F437" s="16" t="s">
        <v>1023</v>
      </c>
      <c r="G437" s="16" t="s">
        <v>1028</v>
      </c>
      <c r="H437" s="21" t="s">
        <v>512</v>
      </c>
      <c r="I437" s="18" t="str">
        <f>RIGHT(H437,4)</f>
        <v xml:space="preserve"> 30F</v>
      </c>
      <c r="J437" s="22" t="s">
        <v>241</v>
      </c>
      <c r="K437" s="126">
        <f>+Tabla13[[#This Row],[PF TOTAL]]</f>
        <v>0</v>
      </c>
      <c r="L437" s="23"/>
      <c r="M437" s="126">
        <f>+Tabla134[[#This Row],[PF AJUSTE 1]]+Tabla134[[#This Row],[AJUSTE 2]]</f>
        <v>0</v>
      </c>
    </row>
    <row r="438" spans="2:13" s="13" customFormat="1" ht="15.75" customHeight="1" x14ac:dyDescent="0.25">
      <c r="B438" s="24"/>
      <c r="C438" s="24"/>
      <c r="D438" s="24"/>
      <c r="E438" s="24"/>
      <c r="F438" s="24"/>
      <c r="G438" s="24"/>
      <c r="H438" s="17" t="s">
        <v>513</v>
      </c>
      <c r="I438" s="18"/>
      <c r="J438" s="19" t="s">
        <v>267</v>
      </c>
      <c r="K438" s="156">
        <f>+K439</f>
        <v>0</v>
      </c>
      <c r="L438" s="156">
        <f t="shared" ref="L438:M438" si="186">+L439</f>
        <v>0</v>
      </c>
      <c r="M438" s="156">
        <f t="shared" si="186"/>
        <v>0</v>
      </c>
    </row>
    <row r="439" spans="2:13" s="13" customFormat="1" ht="15.75" customHeight="1" x14ac:dyDescent="0.25">
      <c r="B439" s="24"/>
      <c r="C439" s="24"/>
      <c r="D439" s="24"/>
      <c r="E439" s="24"/>
      <c r="F439" s="24"/>
      <c r="G439" s="24"/>
      <c r="H439" s="17" t="s">
        <v>514</v>
      </c>
      <c r="I439" s="18"/>
      <c r="J439" s="19" t="s">
        <v>271</v>
      </c>
      <c r="K439" s="156">
        <f>SUM(K440:K450)</f>
        <v>0</v>
      </c>
      <c r="L439" s="156">
        <f t="shared" ref="L439:M439" si="187">SUM(L440:L450)</f>
        <v>0</v>
      </c>
      <c r="M439" s="156">
        <f t="shared" si="187"/>
        <v>0</v>
      </c>
    </row>
    <row r="440" spans="2:13" ht="15" customHeight="1" x14ac:dyDescent="0.2">
      <c r="B440" s="16" t="s">
        <v>1002</v>
      </c>
      <c r="C440" s="16" t="s">
        <v>1006</v>
      </c>
      <c r="D440" s="16" t="s">
        <v>1049</v>
      </c>
      <c r="E440" s="16" t="s">
        <v>1021</v>
      </c>
      <c r="F440" s="16" t="s">
        <v>1023</v>
      </c>
      <c r="G440" s="16" t="s">
        <v>1030</v>
      </c>
      <c r="H440" s="21" t="s">
        <v>738</v>
      </c>
      <c r="I440" s="18" t="str">
        <f t="shared" ref="I440:I450" si="188">RIGHT(H440,4)</f>
        <v>103A</v>
      </c>
      <c r="J440" s="22" t="s">
        <v>271</v>
      </c>
      <c r="K440" s="126">
        <f>+Tabla13[[#This Row],[PF TOTAL]]</f>
        <v>0</v>
      </c>
      <c r="L440" s="23"/>
      <c r="M440" s="126">
        <f>+Tabla134[[#This Row],[PF AJUSTE 1]]+Tabla134[[#This Row],[AJUSTE 2]]</f>
        <v>0</v>
      </c>
    </row>
    <row r="441" spans="2:13" ht="15" customHeight="1" x14ac:dyDescent="0.2">
      <c r="B441" s="16" t="s">
        <v>1002</v>
      </c>
      <c r="C441" s="16" t="s">
        <v>1006</v>
      </c>
      <c r="D441" s="16" t="s">
        <v>1049</v>
      </c>
      <c r="E441" s="16" t="s">
        <v>1021</v>
      </c>
      <c r="F441" s="16" t="s">
        <v>1023</v>
      </c>
      <c r="G441" s="16" t="s">
        <v>1030</v>
      </c>
      <c r="H441" s="21" t="s">
        <v>739</v>
      </c>
      <c r="I441" s="18" t="str">
        <f t="shared" si="188"/>
        <v>103R</v>
      </c>
      <c r="J441" s="22" t="s">
        <v>271</v>
      </c>
      <c r="K441" s="126">
        <f>+Tabla13[[#This Row],[PF TOTAL]]</f>
        <v>0</v>
      </c>
      <c r="L441" s="23"/>
      <c r="M441" s="126">
        <f>+Tabla134[[#This Row],[PF AJUSTE 1]]+Tabla134[[#This Row],[AJUSTE 2]]</f>
        <v>0</v>
      </c>
    </row>
    <row r="442" spans="2:13" ht="15" customHeight="1" x14ac:dyDescent="0.2">
      <c r="B442" s="16" t="s">
        <v>1002</v>
      </c>
      <c r="C442" s="16" t="s">
        <v>1006</v>
      </c>
      <c r="D442" s="16" t="s">
        <v>1049</v>
      </c>
      <c r="E442" s="16" t="s">
        <v>1021</v>
      </c>
      <c r="F442" s="16" t="s">
        <v>1023</v>
      </c>
      <c r="G442" s="16" t="s">
        <v>1030</v>
      </c>
      <c r="H442" s="21" t="s">
        <v>740</v>
      </c>
      <c r="I442" s="18" t="str">
        <f t="shared" si="188"/>
        <v>149R</v>
      </c>
      <c r="J442" s="22" t="s">
        <v>271</v>
      </c>
      <c r="K442" s="126">
        <f>+Tabla13[[#This Row],[PF TOTAL]]</f>
        <v>0</v>
      </c>
      <c r="L442" s="23"/>
      <c r="M442" s="126">
        <f>+Tabla134[[#This Row],[PF AJUSTE 1]]+Tabla134[[#This Row],[AJUSTE 2]]</f>
        <v>0</v>
      </c>
    </row>
    <row r="443" spans="2:13" ht="15" customHeight="1" x14ac:dyDescent="0.2">
      <c r="B443" s="16" t="s">
        <v>1002</v>
      </c>
      <c r="C443" s="16" t="s">
        <v>1006</v>
      </c>
      <c r="D443" s="16" t="s">
        <v>1049</v>
      </c>
      <c r="E443" s="16" t="s">
        <v>1021</v>
      </c>
      <c r="F443" s="16" t="s">
        <v>1023</v>
      </c>
      <c r="G443" s="16" t="s">
        <v>1030</v>
      </c>
      <c r="H443" s="21" t="s">
        <v>741</v>
      </c>
      <c r="I443" s="18" t="str">
        <f t="shared" si="188"/>
        <v>150R</v>
      </c>
      <c r="J443" s="22" t="s">
        <v>271</v>
      </c>
      <c r="K443" s="126">
        <f>+Tabla13[[#This Row],[PF TOTAL]]</f>
        <v>0</v>
      </c>
      <c r="L443" s="23"/>
      <c r="M443" s="126">
        <f>+Tabla134[[#This Row],[PF AJUSTE 1]]+Tabla134[[#This Row],[AJUSTE 2]]</f>
        <v>0</v>
      </c>
    </row>
    <row r="444" spans="2:13" ht="15" customHeight="1" x14ac:dyDescent="0.2">
      <c r="B444" s="16" t="s">
        <v>1002</v>
      </c>
      <c r="C444" s="16" t="s">
        <v>1006</v>
      </c>
      <c r="D444" s="16" t="s">
        <v>1049</v>
      </c>
      <c r="E444" s="16" t="s">
        <v>1021</v>
      </c>
      <c r="F444" s="16" t="s">
        <v>1023</v>
      </c>
      <c r="G444" s="16" t="s">
        <v>1030</v>
      </c>
      <c r="H444" s="21" t="s">
        <v>742</v>
      </c>
      <c r="I444" s="18" t="str">
        <f t="shared" si="188"/>
        <v>29RB</v>
      </c>
      <c r="J444" s="22" t="s">
        <v>271</v>
      </c>
      <c r="K444" s="126">
        <f>+Tabla13[[#This Row],[PF TOTAL]]</f>
        <v>0</v>
      </c>
      <c r="L444" s="23"/>
      <c r="M444" s="126">
        <f>+Tabla134[[#This Row],[PF AJUSTE 1]]+Tabla134[[#This Row],[AJUSTE 2]]</f>
        <v>0</v>
      </c>
    </row>
    <row r="445" spans="2:13" ht="15" customHeight="1" x14ac:dyDescent="0.2">
      <c r="B445" s="16" t="s">
        <v>1002</v>
      </c>
      <c r="C445" s="16" t="s">
        <v>1006</v>
      </c>
      <c r="D445" s="16" t="s">
        <v>1049</v>
      </c>
      <c r="E445" s="16" t="s">
        <v>1017</v>
      </c>
      <c r="F445" s="16" t="s">
        <v>1023</v>
      </c>
      <c r="G445" s="16" t="s">
        <v>1030</v>
      </c>
      <c r="H445" s="21" t="s">
        <v>743</v>
      </c>
      <c r="I445" s="18" t="str">
        <f t="shared" si="188"/>
        <v>30RB</v>
      </c>
      <c r="J445" s="22" t="s">
        <v>271</v>
      </c>
      <c r="K445" s="126">
        <f>+Tabla13[[#This Row],[PF TOTAL]]</f>
        <v>0</v>
      </c>
      <c r="L445" s="23"/>
      <c r="M445" s="126">
        <f>+Tabla134[[#This Row],[PF AJUSTE 1]]+Tabla134[[#This Row],[AJUSTE 2]]</f>
        <v>0</v>
      </c>
    </row>
    <row r="446" spans="2:13" ht="15" customHeight="1" x14ac:dyDescent="0.2">
      <c r="B446" s="16" t="s">
        <v>1002</v>
      </c>
      <c r="C446" s="16" t="s">
        <v>1006</v>
      </c>
      <c r="D446" s="16" t="s">
        <v>1049</v>
      </c>
      <c r="E446" s="16" t="s">
        <v>1021</v>
      </c>
      <c r="F446" s="16" t="s">
        <v>1023</v>
      </c>
      <c r="G446" s="16" t="s">
        <v>1030</v>
      </c>
      <c r="H446" s="21" t="s">
        <v>744</v>
      </c>
      <c r="I446" s="18" t="str">
        <f t="shared" si="188"/>
        <v>70RB</v>
      </c>
      <c r="J446" s="22" t="s">
        <v>271</v>
      </c>
      <c r="K446" s="126">
        <f>+Tabla13[[#This Row],[PF TOTAL]]</f>
        <v>0</v>
      </c>
      <c r="L446" s="23"/>
      <c r="M446" s="126">
        <f>+Tabla134[[#This Row],[PF AJUSTE 1]]+Tabla134[[#This Row],[AJUSTE 2]]</f>
        <v>0</v>
      </c>
    </row>
    <row r="447" spans="2:13" ht="15" customHeight="1" x14ac:dyDescent="0.2">
      <c r="B447" s="16" t="s">
        <v>1002</v>
      </c>
      <c r="C447" s="16" t="s">
        <v>1006</v>
      </c>
      <c r="D447" s="16" t="s">
        <v>1049</v>
      </c>
      <c r="E447" s="16" t="s">
        <v>1021</v>
      </c>
      <c r="F447" s="16" t="s">
        <v>1023</v>
      </c>
      <c r="G447" s="16" t="s">
        <v>1030</v>
      </c>
      <c r="H447" s="21" t="s">
        <v>745</v>
      </c>
      <c r="I447" s="18" t="str">
        <f t="shared" si="188"/>
        <v>71RB</v>
      </c>
      <c r="J447" s="22" t="s">
        <v>271</v>
      </c>
      <c r="K447" s="126">
        <f>+Tabla13[[#This Row],[PF TOTAL]]</f>
        <v>0</v>
      </c>
      <c r="L447" s="23"/>
      <c r="M447" s="126">
        <f>+Tabla134[[#This Row],[PF AJUSTE 1]]+Tabla134[[#This Row],[AJUSTE 2]]</f>
        <v>0</v>
      </c>
    </row>
    <row r="448" spans="2:13" ht="15" customHeight="1" x14ac:dyDescent="0.2">
      <c r="B448" s="16" t="s">
        <v>1002</v>
      </c>
      <c r="C448" s="16" t="s">
        <v>1006</v>
      </c>
      <c r="D448" s="16" t="s">
        <v>1049</v>
      </c>
      <c r="E448" s="16" t="s">
        <v>1021</v>
      </c>
      <c r="F448" s="16" t="s">
        <v>1023</v>
      </c>
      <c r="G448" s="16" t="s">
        <v>1030</v>
      </c>
      <c r="H448" s="21" t="s">
        <v>746</v>
      </c>
      <c r="I448" s="18" t="str">
        <f t="shared" si="188"/>
        <v>72RB</v>
      </c>
      <c r="J448" s="22" t="s">
        <v>271</v>
      </c>
      <c r="K448" s="126">
        <f>+Tabla13[[#This Row],[PF TOTAL]]</f>
        <v>0</v>
      </c>
      <c r="L448" s="23"/>
      <c r="M448" s="126">
        <f>+Tabla134[[#This Row],[PF AJUSTE 1]]+Tabla134[[#This Row],[AJUSTE 2]]</f>
        <v>0</v>
      </c>
    </row>
    <row r="449" spans="2:13" ht="15" customHeight="1" x14ac:dyDescent="0.2">
      <c r="B449" s="16" t="s">
        <v>1002</v>
      </c>
      <c r="C449" s="16" t="s">
        <v>1006</v>
      </c>
      <c r="D449" s="16" t="s">
        <v>1049</v>
      </c>
      <c r="E449" s="16" t="s">
        <v>1021</v>
      </c>
      <c r="F449" s="16" t="s">
        <v>1023</v>
      </c>
      <c r="G449" s="16" t="s">
        <v>1030</v>
      </c>
      <c r="H449" s="21" t="s">
        <v>747</v>
      </c>
      <c r="I449" s="18" t="str">
        <f t="shared" si="188"/>
        <v>84RB</v>
      </c>
      <c r="J449" s="22" t="s">
        <v>271</v>
      </c>
      <c r="K449" s="126">
        <f>+Tabla13[[#This Row],[PF TOTAL]]</f>
        <v>0</v>
      </c>
      <c r="L449" s="23"/>
      <c r="M449" s="126">
        <f>+Tabla134[[#This Row],[PF AJUSTE 1]]+Tabla134[[#This Row],[AJUSTE 2]]</f>
        <v>0</v>
      </c>
    </row>
    <row r="450" spans="2:13" ht="15" customHeight="1" x14ac:dyDescent="0.2">
      <c r="B450" s="16" t="s">
        <v>1002</v>
      </c>
      <c r="C450" s="16" t="s">
        <v>1006</v>
      </c>
      <c r="D450" s="16" t="s">
        <v>1049</v>
      </c>
      <c r="E450" s="16" t="s">
        <v>1021</v>
      </c>
      <c r="F450" s="16" t="s">
        <v>1023</v>
      </c>
      <c r="G450" s="16" t="s">
        <v>1030</v>
      </c>
      <c r="H450" s="21" t="s">
        <v>748</v>
      </c>
      <c r="I450" s="18" t="str">
        <f t="shared" si="188"/>
        <v>89RB</v>
      </c>
      <c r="J450" s="22" t="s">
        <v>271</v>
      </c>
      <c r="K450" s="126">
        <f>+Tabla13[[#This Row],[PF TOTAL]]</f>
        <v>0</v>
      </c>
      <c r="L450" s="23"/>
      <c r="M450" s="126">
        <f>+Tabla134[[#This Row],[PF AJUSTE 1]]+Tabla134[[#This Row],[AJUSTE 2]]</f>
        <v>0</v>
      </c>
    </row>
    <row r="451" spans="2:13" s="13" customFormat="1" ht="15.75" customHeight="1" x14ac:dyDescent="0.25">
      <c r="B451" s="24"/>
      <c r="C451" s="24"/>
      <c r="D451" s="24"/>
      <c r="E451" s="24"/>
      <c r="F451" s="24"/>
      <c r="G451" s="24"/>
      <c r="H451" s="17" t="s">
        <v>515</v>
      </c>
      <c r="I451" s="18"/>
      <c r="J451" s="19" t="s">
        <v>273</v>
      </c>
      <c r="K451" s="156">
        <f>+K452</f>
        <v>0</v>
      </c>
      <c r="L451" s="156">
        <f t="shared" ref="L451:M452" si="189">+L452</f>
        <v>0</v>
      </c>
      <c r="M451" s="156">
        <f t="shared" si="189"/>
        <v>0</v>
      </c>
    </row>
    <row r="452" spans="2:13" s="13" customFormat="1" ht="15.75" customHeight="1" x14ac:dyDescent="0.25">
      <c r="B452" s="24"/>
      <c r="C452" s="24"/>
      <c r="D452" s="24"/>
      <c r="E452" s="24"/>
      <c r="F452" s="24"/>
      <c r="G452" s="24"/>
      <c r="H452" s="17" t="s">
        <v>516</v>
      </c>
      <c r="I452" s="18"/>
      <c r="J452" s="19" t="s">
        <v>275</v>
      </c>
      <c r="K452" s="156">
        <f>+K453</f>
        <v>0</v>
      </c>
      <c r="L452" s="156">
        <f t="shared" si="189"/>
        <v>0</v>
      </c>
      <c r="M452" s="156">
        <f t="shared" si="189"/>
        <v>0</v>
      </c>
    </row>
    <row r="453" spans="2:13" ht="15" customHeight="1" x14ac:dyDescent="0.2">
      <c r="B453" s="16" t="s">
        <v>1002</v>
      </c>
      <c r="C453" s="16" t="s">
        <v>1006</v>
      </c>
      <c r="D453" s="16" t="s">
        <v>1049</v>
      </c>
      <c r="E453" s="16" t="s">
        <v>1017</v>
      </c>
      <c r="F453" s="16" t="s">
        <v>1023</v>
      </c>
      <c r="G453" s="16" t="s">
        <v>1031</v>
      </c>
      <c r="H453" s="21" t="s">
        <v>517</v>
      </c>
      <c r="I453" s="18" t="str">
        <f>RIGHT(H453,4)</f>
        <v>- 30</v>
      </c>
      <c r="J453" s="22" t="s">
        <v>275</v>
      </c>
      <c r="K453" s="126">
        <f>+Tabla13[[#This Row],[PF TOTAL]]</f>
        <v>0</v>
      </c>
      <c r="L453" s="23"/>
      <c r="M453" s="126">
        <f>+Tabla134[[#This Row],[PF AJUSTE 1]]+Tabla134[[#This Row],[AJUSTE 2]]</f>
        <v>0</v>
      </c>
    </row>
    <row r="454" spans="2:13" ht="15.75" customHeight="1" x14ac:dyDescent="0.25">
      <c r="B454" s="16"/>
      <c r="C454" s="16"/>
      <c r="D454" s="16"/>
      <c r="E454" s="16"/>
      <c r="F454" s="16"/>
      <c r="G454" s="16"/>
      <c r="H454" s="41" t="s">
        <v>794</v>
      </c>
      <c r="I454" s="42"/>
      <c r="J454" s="19" t="s">
        <v>795</v>
      </c>
      <c r="K454" s="156">
        <f>+K455</f>
        <v>64394687927</v>
      </c>
      <c r="L454" s="156">
        <f t="shared" ref="L454:M454" si="190">+L455</f>
        <v>0</v>
      </c>
      <c r="M454" s="156">
        <f t="shared" si="190"/>
        <v>64394687927</v>
      </c>
    </row>
    <row r="455" spans="2:13" s="13" customFormat="1" ht="15.75" customHeight="1" x14ac:dyDescent="0.25">
      <c r="B455" s="24"/>
      <c r="C455" s="24"/>
      <c r="D455" s="24"/>
      <c r="E455" s="24"/>
      <c r="F455" s="24"/>
      <c r="G455" s="24"/>
      <c r="H455" s="17" t="s">
        <v>518</v>
      </c>
      <c r="I455" s="18"/>
      <c r="J455" s="19" t="s">
        <v>1</v>
      </c>
      <c r="K455" s="156">
        <f>+K456+K514</f>
        <v>64394687927</v>
      </c>
      <c r="L455" s="156">
        <f t="shared" ref="L455:M455" si="191">+L456+L514</f>
        <v>0</v>
      </c>
      <c r="M455" s="156">
        <f t="shared" si="191"/>
        <v>64394687927</v>
      </c>
    </row>
    <row r="456" spans="2:13" s="13" customFormat="1" ht="15.75" customHeight="1" x14ac:dyDescent="0.25">
      <c r="B456" s="24"/>
      <c r="C456" s="24"/>
      <c r="D456" s="24"/>
      <c r="E456" s="24"/>
      <c r="F456" s="24"/>
      <c r="G456" s="24"/>
      <c r="H456" s="17" t="s">
        <v>519</v>
      </c>
      <c r="I456" s="18"/>
      <c r="J456" s="19" t="s">
        <v>3</v>
      </c>
      <c r="K456" s="156">
        <f>+K457+K488</f>
        <v>62699641878</v>
      </c>
      <c r="L456" s="156">
        <f t="shared" ref="L456:M456" si="192">+L457+L488</f>
        <v>0</v>
      </c>
      <c r="M456" s="156">
        <f t="shared" si="192"/>
        <v>62699641878</v>
      </c>
    </row>
    <row r="457" spans="2:13" s="13" customFormat="1" ht="15.75" customHeight="1" x14ac:dyDescent="0.25">
      <c r="B457" s="24"/>
      <c r="C457" s="24"/>
      <c r="D457" s="24"/>
      <c r="E457" s="24"/>
      <c r="F457" s="24"/>
      <c r="G457" s="24"/>
      <c r="H457" s="17" t="s">
        <v>520</v>
      </c>
      <c r="I457" s="18"/>
      <c r="J457" s="19" t="s">
        <v>5</v>
      </c>
      <c r="K457" s="156">
        <f>+K458+K461</f>
        <v>46881450025</v>
      </c>
      <c r="L457" s="156">
        <f t="shared" ref="L457:M457" si="193">+L458+L461</f>
        <v>0</v>
      </c>
      <c r="M457" s="156">
        <f t="shared" si="193"/>
        <v>46881450025</v>
      </c>
    </row>
    <row r="458" spans="2:13" s="13" customFormat="1" ht="15.75" customHeight="1" x14ac:dyDescent="0.25">
      <c r="B458" s="24"/>
      <c r="C458" s="24"/>
      <c r="D458" s="24"/>
      <c r="E458" s="24"/>
      <c r="F458" s="24"/>
      <c r="G458" s="24"/>
      <c r="H458" s="17" t="s">
        <v>521</v>
      </c>
      <c r="I458" s="18"/>
      <c r="J458" s="19" t="s">
        <v>7</v>
      </c>
      <c r="K458" s="156">
        <f>+K459</f>
        <v>708658054</v>
      </c>
      <c r="L458" s="156">
        <f t="shared" ref="L458:M459" si="194">+L459</f>
        <v>0</v>
      </c>
      <c r="M458" s="156">
        <f t="shared" si="194"/>
        <v>708658054</v>
      </c>
    </row>
    <row r="459" spans="2:13" ht="15" customHeight="1" x14ac:dyDescent="0.2">
      <c r="B459" s="16"/>
      <c r="C459" s="16"/>
      <c r="D459" s="16"/>
      <c r="E459" s="16"/>
      <c r="F459" s="16"/>
      <c r="G459" s="16"/>
      <c r="H459" s="21" t="s">
        <v>522</v>
      </c>
      <c r="I459" s="18"/>
      <c r="J459" s="22" t="s">
        <v>331</v>
      </c>
      <c r="K459" s="157">
        <f>+K460</f>
        <v>708658054</v>
      </c>
      <c r="L459" s="157">
        <f t="shared" si="194"/>
        <v>0</v>
      </c>
      <c r="M459" s="157">
        <f t="shared" si="194"/>
        <v>708658054</v>
      </c>
    </row>
    <row r="460" spans="2:13" ht="15" customHeight="1" x14ac:dyDescent="0.2">
      <c r="B460" s="16" t="s">
        <v>1002</v>
      </c>
      <c r="C460" s="16" t="s">
        <v>1006</v>
      </c>
      <c r="D460" s="16" t="s">
        <v>1050</v>
      </c>
      <c r="E460" s="16" t="s">
        <v>1021</v>
      </c>
      <c r="F460" s="16" t="s">
        <v>1022</v>
      </c>
      <c r="G460" s="16" t="s">
        <v>1024</v>
      </c>
      <c r="H460" s="21" t="s">
        <v>523</v>
      </c>
      <c r="I460" s="18" t="str">
        <f>RIGHT(H460,4)</f>
        <v xml:space="preserve"> 71A</v>
      </c>
      <c r="J460" s="22" t="s">
        <v>331</v>
      </c>
      <c r="K460" s="126">
        <f>+Tabla13[[#This Row],[PF TOTAL]]</f>
        <v>708658054</v>
      </c>
      <c r="L460" s="23"/>
      <c r="M460" s="126">
        <f>+Tabla134[[#This Row],[PF AJUSTE 1]]+Tabla134[[#This Row],[AJUSTE 2]]</f>
        <v>708658054</v>
      </c>
    </row>
    <row r="461" spans="2:13" s="13" customFormat="1" ht="15.75" customHeight="1" x14ac:dyDescent="0.25">
      <c r="B461" s="24"/>
      <c r="C461" s="24"/>
      <c r="D461" s="24"/>
      <c r="E461" s="24"/>
      <c r="F461" s="24"/>
      <c r="G461" s="24"/>
      <c r="H461" s="17" t="s">
        <v>524</v>
      </c>
      <c r="I461" s="18"/>
      <c r="J461" s="19" t="s">
        <v>14</v>
      </c>
      <c r="K461" s="156">
        <f>+K462+K465+K467+K475+K481</f>
        <v>46172791971</v>
      </c>
      <c r="L461" s="156">
        <f t="shared" ref="L461:M461" si="195">+L462+L465+L467+L475+L481</f>
        <v>0</v>
      </c>
      <c r="M461" s="156">
        <f t="shared" si="195"/>
        <v>46172791971</v>
      </c>
    </row>
    <row r="462" spans="2:13" ht="15" customHeight="1" x14ac:dyDescent="0.2">
      <c r="B462" s="16"/>
      <c r="C462" s="16"/>
      <c r="D462" s="16"/>
      <c r="E462" s="16"/>
      <c r="F462" s="16"/>
      <c r="G462" s="16"/>
      <c r="H462" s="21" t="s">
        <v>525</v>
      </c>
      <c r="I462" s="18"/>
      <c r="J462" s="22" t="s">
        <v>335</v>
      </c>
      <c r="K462" s="157">
        <f>+K463+K464</f>
        <v>713183269</v>
      </c>
      <c r="L462" s="157">
        <f t="shared" ref="L462:M462" si="196">+L463+L464</f>
        <v>0</v>
      </c>
      <c r="M462" s="157">
        <f t="shared" si="196"/>
        <v>713183269</v>
      </c>
    </row>
    <row r="463" spans="2:13" ht="15" customHeight="1" x14ac:dyDescent="0.2">
      <c r="B463" s="16" t="s">
        <v>1002</v>
      </c>
      <c r="C463" s="16" t="s">
        <v>1006</v>
      </c>
      <c r="D463" s="16" t="s">
        <v>1050</v>
      </c>
      <c r="E463" s="16" t="s">
        <v>1021</v>
      </c>
      <c r="F463" s="16" t="s">
        <v>1022</v>
      </c>
      <c r="G463" s="16" t="s">
        <v>1025</v>
      </c>
      <c r="H463" s="21" t="s">
        <v>526</v>
      </c>
      <c r="I463" s="18" t="str">
        <f>RIGHT(H463,4)</f>
        <v>- 72</v>
      </c>
      <c r="J463" s="22" t="s">
        <v>335</v>
      </c>
      <c r="K463" s="126">
        <f>+Tabla13[[#This Row],[PF TOTAL]]</f>
        <v>0</v>
      </c>
      <c r="L463" s="23"/>
      <c r="M463" s="126">
        <f>+Tabla134[[#This Row],[PF AJUSTE 1]]+Tabla134[[#This Row],[AJUSTE 2]]</f>
        <v>0</v>
      </c>
    </row>
    <row r="464" spans="2:13" ht="15" customHeight="1" x14ac:dyDescent="0.2">
      <c r="B464" s="16" t="s">
        <v>1002</v>
      </c>
      <c r="C464" s="16" t="s">
        <v>1006</v>
      </c>
      <c r="D464" s="16" t="s">
        <v>1050</v>
      </c>
      <c r="E464" s="16" t="s">
        <v>1021</v>
      </c>
      <c r="F464" s="16" t="s">
        <v>1022</v>
      </c>
      <c r="G464" s="16" t="s">
        <v>1025</v>
      </c>
      <c r="H464" s="21" t="s">
        <v>527</v>
      </c>
      <c r="I464" s="18" t="str">
        <f>RIGHT(H464,4)</f>
        <v xml:space="preserve"> 72A</v>
      </c>
      <c r="J464" s="22" t="s">
        <v>335</v>
      </c>
      <c r="K464" s="126">
        <f>+Tabla13[[#This Row],[PF TOTAL]]</f>
        <v>713183269</v>
      </c>
      <c r="L464" s="23"/>
      <c r="M464" s="126">
        <f>+Tabla134[[#This Row],[PF AJUSTE 1]]+Tabla134[[#This Row],[AJUSTE 2]]</f>
        <v>713183269</v>
      </c>
    </row>
    <row r="465" spans="2:13" ht="15" customHeight="1" x14ac:dyDescent="0.2">
      <c r="B465" s="16"/>
      <c r="C465" s="16"/>
      <c r="D465" s="16"/>
      <c r="E465" s="16"/>
      <c r="F465" s="16"/>
      <c r="G465" s="16"/>
      <c r="H465" s="21" t="s">
        <v>528</v>
      </c>
      <c r="I465" s="18"/>
      <c r="J465" s="22" t="s">
        <v>338</v>
      </c>
      <c r="K465" s="157">
        <f>+K466</f>
        <v>0</v>
      </c>
      <c r="L465" s="157">
        <f t="shared" ref="L465:M465" si="197">+L466</f>
        <v>0</v>
      </c>
      <c r="M465" s="157">
        <f t="shared" si="197"/>
        <v>0</v>
      </c>
    </row>
    <row r="466" spans="2:13" ht="15" customHeight="1" x14ac:dyDescent="0.2">
      <c r="B466" s="16" t="s">
        <v>1002</v>
      </c>
      <c r="C466" s="16" t="s">
        <v>1006</v>
      </c>
      <c r="D466" s="16" t="s">
        <v>1050</v>
      </c>
      <c r="E466" s="16" t="s">
        <v>1021</v>
      </c>
      <c r="F466" s="16" t="s">
        <v>1022</v>
      </c>
      <c r="G466" s="16" t="s">
        <v>1025</v>
      </c>
      <c r="H466" s="21" t="s">
        <v>529</v>
      </c>
      <c r="I466" s="18" t="str">
        <f>RIGHT(H466,4)</f>
        <v>150A</v>
      </c>
      <c r="J466" s="22" t="s">
        <v>338</v>
      </c>
      <c r="K466" s="126">
        <f>+Tabla13[[#This Row],[PF TOTAL]]</f>
        <v>0</v>
      </c>
      <c r="L466" s="23"/>
      <c r="M466" s="126">
        <f>+Tabla134[[#This Row],[PF AJUSTE 1]]+Tabla134[[#This Row],[AJUSTE 2]]</f>
        <v>0</v>
      </c>
    </row>
    <row r="467" spans="2:13" ht="15" customHeight="1" x14ac:dyDescent="0.2">
      <c r="B467" s="16"/>
      <c r="C467" s="16"/>
      <c r="D467" s="16"/>
      <c r="E467" s="16"/>
      <c r="F467" s="16"/>
      <c r="G467" s="16"/>
      <c r="H467" s="21" t="s">
        <v>530</v>
      </c>
      <c r="I467" s="18"/>
      <c r="J467" s="22" t="s">
        <v>29</v>
      </c>
      <c r="K467" s="157">
        <f>+K468</f>
        <v>1230361233</v>
      </c>
      <c r="L467" s="157">
        <f t="shared" ref="L467:M467" si="198">+L468</f>
        <v>0</v>
      </c>
      <c r="M467" s="157">
        <f t="shared" si="198"/>
        <v>1230361233</v>
      </c>
    </row>
    <row r="468" spans="2:13" ht="15" customHeight="1" x14ac:dyDescent="0.2">
      <c r="B468" s="16"/>
      <c r="C468" s="16"/>
      <c r="D468" s="16"/>
      <c r="E468" s="16"/>
      <c r="F468" s="16"/>
      <c r="G468" s="16"/>
      <c r="H468" s="21" t="s">
        <v>531</v>
      </c>
      <c r="I468" s="18"/>
      <c r="J468" s="22" t="s">
        <v>31</v>
      </c>
      <c r="K468" s="157">
        <f>+K469+K472</f>
        <v>1230361233</v>
      </c>
      <c r="L468" s="157">
        <f t="shared" ref="L468:M468" si="199">+L469+L472</f>
        <v>0</v>
      </c>
      <c r="M468" s="157">
        <f t="shared" si="199"/>
        <v>1230361233</v>
      </c>
    </row>
    <row r="469" spans="2:13" ht="30" customHeight="1" x14ac:dyDescent="0.2">
      <c r="B469" s="16"/>
      <c r="C469" s="16"/>
      <c r="D469" s="16"/>
      <c r="E469" s="16"/>
      <c r="F469" s="16"/>
      <c r="G469" s="16"/>
      <c r="H469" s="21" t="s">
        <v>532</v>
      </c>
      <c r="I469" s="18"/>
      <c r="J469" s="22" t="s">
        <v>33</v>
      </c>
      <c r="K469" s="157">
        <f>+K470+K471</f>
        <v>531624896</v>
      </c>
      <c r="L469" s="157">
        <f t="shared" ref="L469:M469" si="200">+L470+L471</f>
        <v>0</v>
      </c>
      <c r="M469" s="157">
        <f t="shared" si="200"/>
        <v>531624896</v>
      </c>
    </row>
    <row r="470" spans="2:13" ht="30" customHeight="1" x14ac:dyDescent="0.2">
      <c r="B470" s="16" t="s">
        <v>1002</v>
      </c>
      <c r="C470" s="16" t="s">
        <v>1006</v>
      </c>
      <c r="D470" s="16" t="s">
        <v>1050</v>
      </c>
      <c r="E470" s="16" t="s">
        <v>1021</v>
      </c>
      <c r="F470" s="16" t="s">
        <v>1022</v>
      </c>
      <c r="G470" s="16" t="s">
        <v>1025</v>
      </c>
      <c r="H470" s="21" t="s">
        <v>533</v>
      </c>
      <c r="I470" s="18" t="str">
        <f>RIGHT(H470,4)</f>
        <v xml:space="preserve"> 150</v>
      </c>
      <c r="J470" s="22" t="s">
        <v>35</v>
      </c>
      <c r="K470" s="126">
        <f>+Tabla13[[#This Row],[PF TOTAL]]</f>
        <v>249935979</v>
      </c>
      <c r="L470" s="23"/>
      <c r="M470" s="126">
        <f>+Tabla134[[#This Row],[PF AJUSTE 1]]+Tabla134[[#This Row],[AJUSTE 2]]</f>
        <v>249935979</v>
      </c>
    </row>
    <row r="471" spans="2:13" ht="12.95" customHeight="1" x14ac:dyDescent="0.2">
      <c r="B471" s="16" t="s">
        <v>1002</v>
      </c>
      <c r="C471" s="16" t="s">
        <v>1006</v>
      </c>
      <c r="D471" s="16" t="s">
        <v>1050</v>
      </c>
      <c r="E471" s="16" t="s">
        <v>1021</v>
      </c>
      <c r="F471" s="16" t="s">
        <v>1022</v>
      </c>
      <c r="G471" s="16" t="s">
        <v>1025</v>
      </c>
      <c r="H471" s="21" t="s">
        <v>534</v>
      </c>
      <c r="I471" s="18" t="str">
        <f>RIGHT(H471,4)</f>
        <v>150A</v>
      </c>
      <c r="J471" s="22" t="s">
        <v>38</v>
      </c>
      <c r="K471" s="126">
        <f>+Tabla13[[#This Row],[PF TOTAL]]</f>
        <v>281688917</v>
      </c>
      <c r="L471" s="23"/>
      <c r="M471" s="126">
        <f>+Tabla134[[#This Row],[PF AJUSTE 1]]+Tabla134[[#This Row],[AJUSTE 2]]</f>
        <v>281688917</v>
      </c>
    </row>
    <row r="472" spans="2:13" ht="30" customHeight="1" x14ac:dyDescent="0.2">
      <c r="B472" s="16"/>
      <c r="C472" s="16"/>
      <c r="D472" s="16"/>
      <c r="E472" s="16"/>
      <c r="F472" s="16"/>
      <c r="G472" s="16"/>
      <c r="H472" s="21" t="s">
        <v>535</v>
      </c>
      <c r="I472" s="18"/>
      <c r="J472" s="22" t="s">
        <v>41</v>
      </c>
      <c r="K472" s="157">
        <f>+K473+K474</f>
        <v>698736337</v>
      </c>
      <c r="L472" s="157">
        <f t="shared" ref="L472:M472" si="201">+L473+L474</f>
        <v>0</v>
      </c>
      <c r="M472" s="157">
        <f t="shared" si="201"/>
        <v>698736337</v>
      </c>
    </row>
    <row r="473" spans="2:13" ht="30" customHeight="1" x14ac:dyDescent="0.2">
      <c r="B473" s="16" t="s">
        <v>1002</v>
      </c>
      <c r="C473" s="16" t="s">
        <v>1006</v>
      </c>
      <c r="D473" s="16" t="s">
        <v>1050</v>
      </c>
      <c r="E473" s="16" t="s">
        <v>1021</v>
      </c>
      <c r="F473" s="16" t="s">
        <v>1022</v>
      </c>
      <c r="G473" s="16" t="s">
        <v>1025</v>
      </c>
      <c r="H473" s="21" t="s">
        <v>536</v>
      </c>
      <c r="I473" s="18" t="str">
        <f>RIGHT(H473,4)</f>
        <v xml:space="preserve"> 150</v>
      </c>
      <c r="J473" s="22" t="s">
        <v>43</v>
      </c>
      <c r="K473" s="126">
        <f>+Tabla13[[#This Row],[PF TOTAL]]</f>
        <v>276202964</v>
      </c>
      <c r="L473" s="23"/>
      <c r="M473" s="126">
        <f>+Tabla134[[#This Row],[PF AJUSTE 1]]+Tabla134[[#This Row],[AJUSTE 2]]</f>
        <v>276202964</v>
      </c>
    </row>
    <row r="474" spans="2:13" ht="35.1" customHeight="1" x14ac:dyDescent="0.2">
      <c r="B474" s="16" t="s">
        <v>1002</v>
      </c>
      <c r="C474" s="16" t="s">
        <v>1006</v>
      </c>
      <c r="D474" s="16" t="s">
        <v>1050</v>
      </c>
      <c r="E474" s="16" t="s">
        <v>1021</v>
      </c>
      <c r="F474" s="16" t="s">
        <v>1022</v>
      </c>
      <c r="G474" s="16" t="s">
        <v>1025</v>
      </c>
      <c r="H474" s="21" t="s">
        <v>537</v>
      </c>
      <c r="I474" s="18" t="str">
        <f>RIGHT(H474,4)</f>
        <v>150A</v>
      </c>
      <c r="J474" s="22" t="s">
        <v>46</v>
      </c>
      <c r="K474" s="126">
        <f>+Tabla13[[#This Row],[PF TOTAL]]</f>
        <v>422533373</v>
      </c>
      <c r="L474" s="23"/>
      <c r="M474" s="126">
        <f>+Tabla134[[#This Row],[PF AJUSTE 1]]+Tabla134[[#This Row],[AJUSTE 2]]</f>
        <v>422533373</v>
      </c>
    </row>
    <row r="475" spans="2:13" ht="18.75" customHeight="1" x14ac:dyDescent="0.2">
      <c r="B475" s="16"/>
      <c r="C475" s="16"/>
      <c r="D475" s="16"/>
      <c r="E475" s="16"/>
      <c r="F475" s="16"/>
      <c r="G475" s="16"/>
      <c r="H475" s="21" t="s">
        <v>538</v>
      </c>
      <c r="I475" s="18"/>
      <c r="J475" s="22" t="s">
        <v>49</v>
      </c>
      <c r="K475" s="157">
        <f>+K476+K478</f>
        <v>8897038699</v>
      </c>
      <c r="L475" s="157">
        <f t="shared" ref="L475:M475" si="202">+L476+L478</f>
        <v>0</v>
      </c>
      <c r="M475" s="157">
        <f t="shared" si="202"/>
        <v>8897038699</v>
      </c>
    </row>
    <row r="476" spans="2:13" ht="18.75" customHeight="1" x14ac:dyDescent="0.2">
      <c r="B476" s="16"/>
      <c r="C476" s="16"/>
      <c r="D476" s="16"/>
      <c r="E476" s="16"/>
      <c r="F476" s="16"/>
      <c r="G476" s="16"/>
      <c r="H476" s="21" t="s">
        <v>539</v>
      </c>
      <c r="I476" s="18"/>
      <c r="J476" s="22" t="s">
        <v>51</v>
      </c>
      <c r="K476" s="157">
        <f>+K477</f>
        <v>8893541892</v>
      </c>
      <c r="L476" s="157">
        <f t="shared" ref="L476:M476" si="203">+L477</f>
        <v>0</v>
      </c>
      <c r="M476" s="157">
        <f t="shared" si="203"/>
        <v>8893541892</v>
      </c>
    </row>
    <row r="477" spans="2:13" ht="18.75" customHeight="1" x14ac:dyDescent="0.2">
      <c r="B477" s="16" t="s">
        <v>1002</v>
      </c>
      <c r="C477" s="16" t="s">
        <v>1006</v>
      </c>
      <c r="D477" s="16" t="s">
        <v>1050</v>
      </c>
      <c r="E477" s="16" t="s">
        <v>1021</v>
      </c>
      <c r="F477" s="16" t="s">
        <v>1022</v>
      </c>
      <c r="G477" s="16" t="s">
        <v>1025</v>
      </c>
      <c r="H477" s="21" t="s">
        <v>540</v>
      </c>
      <c r="I477" s="18" t="str">
        <f>RIGHT(H477,4)</f>
        <v>- 29</v>
      </c>
      <c r="J477" s="22" t="s">
        <v>51</v>
      </c>
      <c r="K477" s="126">
        <f>+Tabla13[[#This Row],[PF TOTAL]]</f>
        <v>8893541892</v>
      </c>
      <c r="L477" s="23"/>
      <c r="M477" s="126">
        <f>+Tabla134[[#This Row],[PF AJUSTE 1]]+Tabla134[[#This Row],[AJUSTE 2]]</f>
        <v>8893541892</v>
      </c>
    </row>
    <row r="478" spans="2:13" ht="19.5" customHeight="1" x14ac:dyDescent="0.2">
      <c r="B478" s="16"/>
      <c r="C478" s="16"/>
      <c r="D478" s="16"/>
      <c r="E478" s="16"/>
      <c r="F478" s="16"/>
      <c r="G478" s="16"/>
      <c r="H478" s="21" t="s">
        <v>541</v>
      </c>
      <c r="I478" s="18"/>
      <c r="J478" s="22" t="s">
        <v>54</v>
      </c>
      <c r="K478" s="157">
        <f>+K479+K480</f>
        <v>3496807</v>
      </c>
      <c r="L478" s="157">
        <f t="shared" ref="L478:M478" si="204">+L479+L480</f>
        <v>0</v>
      </c>
      <c r="M478" s="157">
        <f t="shared" si="204"/>
        <v>3496807</v>
      </c>
    </row>
    <row r="479" spans="2:13" ht="18.600000000000001" customHeight="1" x14ac:dyDescent="0.2">
      <c r="B479" s="16" t="s">
        <v>1002</v>
      </c>
      <c r="C479" s="16" t="s">
        <v>1006</v>
      </c>
      <c r="D479" s="16" t="s">
        <v>1050</v>
      </c>
      <c r="E479" s="16" t="s">
        <v>1021</v>
      </c>
      <c r="F479" s="16" t="s">
        <v>1022</v>
      </c>
      <c r="G479" s="16" t="s">
        <v>1025</v>
      </c>
      <c r="H479" s="21" t="s">
        <v>542</v>
      </c>
      <c r="I479" s="18" t="str">
        <f>RIGHT(H479,4)</f>
        <v>- 29</v>
      </c>
      <c r="J479" s="22" t="s">
        <v>54</v>
      </c>
      <c r="K479" s="126">
        <f>+Tabla13[[#This Row],[PF TOTAL]]</f>
        <v>0</v>
      </c>
      <c r="L479" s="23"/>
      <c r="M479" s="126">
        <f>+Tabla134[[#This Row],[PF AJUSTE 1]]+Tabla134[[#This Row],[AJUSTE 2]]</f>
        <v>0</v>
      </c>
    </row>
    <row r="480" spans="2:13" ht="18.75" customHeight="1" x14ac:dyDescent="0.2">
      <c r="B480" s="16" t="s">
        <v>1002</v>
      </c>
      <c r="C480" s="16" t="s">
        <v>1006</v>
      </c>
      <c r="D480" s="16" t="s">
        <v>1050</v>
      </c>
      <c r="E480" s="16" t="s">
        <v>1021</v>
      </c>
      <c r="F480" s="16" t="s">
        <v>1022</v>
      </c>
      <c r="G480" s="16" t="s">
        <v>1025</v>
      </c>
      <c r="H480" s="21" t="s">
        <v>543</v>
      </c>
      <c r="I480" s="18" t="str">
        <f>RIGHT(H480,4)</f>
        <v xml:space="preserve"> 29A</v>
      </c>
      <c r="J480" s="22" t="s">
        <v>54</v>
      </c>
      <c r="K480" s="126">
        <f>+Tabla13[[#This Row],[PF TOTAL]]</f>
        <v>3496807</v>
      </c>
      <c r="L480" s="23"/>
      <c r="M480" s="126">
        <f>+Tabla134[[#This Row],[PF AJUSTE 1]]+Tabla134[[#This Row],[AJUSTE 2]]</f>
        <v>3496807</v>
      </c>
    </row>
    <row r="481" spans="2:13" ht="18.75" customHeight="1" x14ac:dyDescent="0.2">
      <c r="B481" s="16"/>
      <c r="C481" s="16"/>
      <c r="D481" s="16"/>
      <c r="E481" s="16"/>
      <c r="F481" s="16"/>
      <c r="G481" s="16"/>
      <c r="H481" s="21" t="s">
        <v>544</v>
      </c>
      <c r="I481" s="18"/>
      <c r="J481" s="22" t="s">
        <v>57</v>
      </c>
      <c r="K481" s="157">
        <f>+K482+K484</f>
        <v>35332208770</v>
      </c>
      <c r="L481" s="157">
        <f t="shared" ref="L481:M481" si="205">+L482+L484</f>
        <v>0</v>
      </c>
      <c r="M481" s="157">
        <f t="shared" si="205"/>
        <v>35332208770</v>
      </c>
    </row>
    <row r="482" spans="2:13" ht="15" customHeight="1" x14ac:dyDescent="0.2">
      <c r="B482" s="16"/>
      <c r="C482" s="16"/>
      <c r="D482" s="16"/>
      <c r="E482" s="16"/>
      <c r="F482" s="16"/>
      <c r="G482" s="16"/>
      <c r="H482" s="21" t="s">
        <v>749</v>
      </c>
      <c r="I482" s="18"/>
      <c r="J482" s="22" t="s">
        <v>59</v>
      </c>
      <c r="K482" s="157">
        <f>+K483</f>
        <v>0</v>
      </c>
      <c r="L482" s="157">
        <f t="shared" ref="L482:M482" si="206">+L483</f>
        <v>0</v>
      </c>
      <c r="M482" s="157">
        <f t="shared" si="206"/>
        <v>0</v>
      </c>
    </row>
    <row r="483" spans="2:13" ht="30" customHeight="1" x14ac:dyDescent="0.2">
      <c r="B483" s="16"/>
      <c r="C483" s="16"/>
      <c r="D483" s="16"/>
      <c r="E483" s="16"/>
      <c r="F483" s="16"/>
      <c r="G483" s="16"/>
      <c r="H483" s="21" t="s">
        <v>750</v>
      </c>
      <c r="I483" s="18"/>
      <c r="J483" s="22" t="s">
        <v>61</v>
      </c>
      <c r="K483" s="126">
        <f>+Tabla13[[#This Row],[PF TOTAL]]</f>
        <v>0</v>
      </c>
      <c r="L483" s="2">
        <v>0</v>
      </c>
      <c r="M483" s="126">
        <f>+Tabla134[[#This Row],[PF AJUSTE 1]]+Tabla134[[#This Row],[AJUSTE 2]]</f>
        <v>0</v>
      </c>
    </row>
    <row r="484" spans="2:13" ht="30" customHeight="1" x14ac:dyDescent="0.2">
      <c r="B484" s="16"/>
      <c r="C484" s="16"/>
      <c r="D484" s="16"/>
      <c r="E484" s="16"/>
      <c r="F484" s="16"/>
      <c r="G484" s="16"/>
      <c r="H484" s="21" t="s">
        <v>545</v>
      </c>
      <c r="I484" s="18"/>
      <c r="J484" s="22" t="s">
        <v>546</v>
      </c>
      <c r="K484" s="157">
        <f>+K485</f>
        <v>35332208770</v>
      </c>
      <c r="L484" s="157">
        <f t="shared" ref="L484:M484" si="207">+L485</f>
        <v>0</v>
      </c>
      <c r="M484" s="157">
        <f t="shared" si="207"/>
        <v>35332208770</v>
      </c>
    </row>
    <row r="485" spans="2:13" ht="30" customHeight="1" x14ac:dyDescent="0.2">
      <c r="B485" s="16"/>
      <c r="C485" s="16"/>
      <c r="D485" s="16"/>
      <c r="E485" s="16"/>
      <c r="F485" s="16"/>
      <c r="G485" s="16"/>
      <c r="H485" s="21" t="s">
        <v>547</v>
      </c>
      <c r="I485" s="18"/>
      <c r="J485" s="22" t="s">
        <v>548</v>
      </c>
      <c r="K485" s="157">
        <f>+K486+K487</f>
        <v>35332208770</v>
      </c>
      <c r="L485" s="157">
        <f t="shared" ref="L485:M485" si="208">+L486+L487</f>
        <v>0</v>
      </c>
      <c r="M485" s="157">
        <f t="shared" si="208"/>
        <v>35332208770</v>
      </c>
    </row>
    <row r="486" spans="2:13" ht="30" customHeight="1" x14ac:dyDescent="0.2">
      <c r="B486" s="16" t="s">
        <v>1002</v>
      </c>
      <c r="C486" s="16" t="s">
        <v>1006</v>
      </c>
      <c r="D486" s="16" t="s">
        <v>1050</v>
      </c>
      <c r="E486" s="16" t="s">
        <v>1021</v>
      </c>
      <c r="F486" s="16" t="s">
        <v>1022</v>
      </c>
      <c r="G486" s="16" t="s">
        <v>1025</v>
      </c>
      <c r="H486" s="21" t="s">
        <v>689</v>
      </c>
      <c r="I486" s="18" t="str">
        <f>RIGHT(H486,4)</f>
        <v>- 56</v>
      </c>
      <c r="J486" s="22" t="s">
        <v>61</v>
      </c>
      <c r="K486" s="126">
        <f>+Tabla13[[#This Row],[PF TOTAL]]</f>
        <v>25439190315</v>
      </c>
      <c r="L486" s="23"/>
      <c r="M486" s="126">
        <f>+Tabla134[[#This Row],[PF AJUSTE 1]]+Tabla134[[#This Row],[AJUSTE 2]]</f>
        <v>25439190315</v>
      </c>
    </row>
    <row r="487" spans="2:13" ht="30" customHeight="1" x14ac:dyDescent="0.2">
      <c r="B487" s="16" t="s">
        <v>1002</v>
      </c>
      <c r="C487" s="16" t="s">
        <v>1006</v>
      </c>
      <c r="D487" s="16" t="s">
        <v>1050</v>
      </c>
      <c r="E487" s="16" t="s">
        <v>1021</v>
      </c>
      <c r="F487" s="16" t="s">
        <v>1022</v>
      </c>
      <c r="G487" s="16" t="s">
        <v>1025</v>
      </c>
      <c r="H487" s="21" t="s">
        <v>549</v>
      </c>
      <c r="I487" s="18" t="str">
        <f>RIGHT(H487,4)</f>
        <v xml:space="preserve"> 56A</v>
      </c>
      <c r="J487" s="22" t="s">
        <v>548</v>
      </c>
      <c r="K487" s="126">
        <f>+Tabla13[[#This Row],[PF TOTAL]]</f>
        <v>9893018455</v>
      </c>
      <c r="L487" s="23"/>
      <c r="M487" s="126">
        <f>+Tabla134[[#This Row],[PF AJUSTE 1]]+Tabla134[[#This Row],[AJUSTE 2]]</f>
        <v>9893018455</v>
      </c>
    </row>
    <row r="488" spans="2:13" s="13" customFormat="1" ht="15.75" customHeight="1" x14ac:dyDescent="0.25">
      <c r="B488" s="24"/>
      <c r="C488" s="24"/>
      <c r="D488" s="24"/>
      <c r="E488" s="24"/>
      <c r="F488" s="24"/>
      <c r="G488" s="24"/>
      <c r="H488" s="17" t="s">
        <v>550</v>
      </c>
      <c r="I488" s="18"/>
      <c r="J488" s="19" t="s">
        <v>86</v>
      </c>
      <c r="K488" s="156">
        <f>+K489</f>
        <v>15818191853</v>
      </c>
      <c r="L488" s="156">
        <f t="shared" ref="L488:M488" si="209">+L489</f>
        <v>0</v>
      </c>
      <c r="M488" s="156">
        <f t="shared" si="209"/>
        <v>15818191853</v>
      </c>
    </row>
    <row r="489" spans="2:13" s="13" customFormat="1" ht="15.75" customHeight="1" x14ac:dyDescent="0.25">
      <c r="B489" s="24"/>
      <c r="C489" s="24"/>
      <c r="D489" s="24"/>
      <c r="E489" s="24"/>
      <c r="F489" s="24"/>
      <c r="G489" s="24"/>
      <c r="H489" s="17" t="s">
        <v>551</v>
      </c>
      <c r="I489" s="18"/>
      <c r="J489" s="19" t="s">
        <v>195</v>
      </c>
      <c r="K489" s="156">
        <f>+K490+K500</f>
        <v>15818191853</v>
      </c>
      <c r="L489" s="156">
        <f t="shared" ref="L489:M489" si="210">+L490+L500</f>
        <v>0</v>
      </c>
      <c r="M489" s="156">
        <f t="shared" si="210"/>
        <v>15818191853</v>
      </c>
    </row>
    <row r="490" spans="2:13" ht="15" customHeight="1" x14ac:dyDescent="0.2">
      <c r="B490" s="16"/>
      <c r="C490" s="16"/>
      <c r="D490" s="16"/>
      <c r="E490" s="16"/>
      <c r="F490" s="16"/>
      <c r="G490" s="16"/>
      <c r="H490" s="21" t="s">
        <v>552</v>
      </c>
      <c r="I490" s="18"/>
      <c r="J490" s="22" t="s">
        <v>362</v>
      </c>
      <c r="K490" s="157">
        <f>+K491+K493+K497+K495</f>
        <v>9180213392</v>
      </c>
      <c r="L490" s="157">
        <f t="shared" ref="L490:M490" si="211">+L491+L493+L497+L495</f>
        <v>0</v>
      </c>
      <c r="M490" s="157">
        <f t="shared" si="211"/>
        <v>9180213392</v>
      </c>
    </row>
    <row r="491" spans="2:13" ht="15" customHeight="1" x14ac:dyDescent="0.2">
      <c r="B491" s="16"/>
      <c r="C491" s="16"/>
      <c r="D491" s="16"/>
      <c r="E491" s="16"/>
      <c r="F491" s="16"/>
      <c r="G491" s="16"/>
      <c r="H491" s="21" t="s">
        <v>553</v>
      </c>
      <c r="I491" s="18"/>
      <c r="J491" s="22" t="s">
        <v>364</v>
      </c>
      <c r="K491" s="157">
        <f>+K492</f>
        <v>2167426947</v>
      </c>
      <c r="L491" s="157">
        <f t="shared" ref="L491:M491" si="212">+L492</f>
        <v>0</v>
      </c>
      <c r="M491" s="157">
        <f t="shared" si="212"/>
        <v>2167426947</v>
      </c>
    </row>
    <row r="492" spans="2:13" ht="15" customHeight="1" x14ac:dyDescent="0.2">
      <c r="B492" s="16" t="s">
        <v>1002</v>
      </c>
      <c r="C492" s="16" t="s">
        <v>1006</v>
      </c>
      <c r="D492" s="16" t="s">
        <v>1050</v>
      </c>
      <c r="E492" s="16" t="s">
        <v>1021</v>
      </c>
      <c r="F492" s="16" t="s">
        <v>1022</v>
      </c>
      <c r="G492" s="16" t="s">
        <v>1025</v>
      </c>
      <c r="H492" s="21" t="s">
        <v>554</v>
      </c>
      <c r="I492" s="18" t="str">
        <f t="shared" ref="I492:I499" si="213">RIGHT(H492,4)</f>
        <v xml:space="preserve"> 71A</v>
      </c>
      <c r="J492" s="22" t="s">
        <v>364</v>
      </c>
      <c r="K492" s="126">
        <f>+Tabla13[[#This Row],[PF TOTAL]]</f>
        <v>2167426947</v>
      </c>
      <c r="L492" s="23"/>
      <c r="M492" s="126">
        <f>+Tabla134[[#This Row],[PF AJUSTE 1]]+Tabla134[[#This Row],[AJUSTE 2]]</f>
        <v>2167426947</v>
      </c>
    </row>
    <row r="493" spans="2:13" ht="30" customHeight="1" x14ac:dyDescent="0.2">
      <c r="B493" s="16"/>
      <c r="C493" s="16"/>
      <c r="D493" s="16"/>
      <c r="E493" s="16"/>
      <c r="F493" s="16"/>
      <c r="G493" s="16"/>
      <c r="H493" s="21" t="s">
        <v>555</v>
      </c>
      <c r="I493" s="18"/>
      <c r="J493" s="22" t="s">
        <v>367</v>
      </c>
      <c r="K493" s="157">
        <f>+K494</f>
        <v>4943367666</v>
      </c>
      <c r="L493" s="157">
        <f t="shared" ref="L493:M493" si="214">+L494</f>
        <v>0</v>
      </c>
      <c r="M493" s="157">
        <f t="shared" si="214"/>
        <v>4943367666</v>
      </c>
    </row>
    <row r="494" spans="2:13" ht="30" customHeight="1" x14ac:dyDescent="0.2">
      <c r="B494" s="16" t="s">
        <v>1002</v>
      </c>
      <c r="C494" s="16" t="s">
        <v>1006</v>
      </c>
      <c r="D494" s="16" t="s">
        <v>1050</v>
      </c>
      <c r="E494" s="16" t="s">
        <v>1021</v>
      </c>
      <c r="F494" s="16" t="s">
        <v>1022</v>
      </c>
      <c r="G494" s="16" t="s">
        <v>1025</v>
      </c>
      <c r="H494" s="21" t="s">
        <v>556</v>
      </c>
      <c r="I494" s="18" t="str">
        <f t="shared" si="213"/>
        <v xml:space="preserve"> 70A</v>
      </c>
      <c r="J494" s="22" t="s">
        <v>367</v>
      </c>
      <c r="K494" s="126">
        <f>+Tabla13[[#This Row],[PF TOTAL]]</f>
        <v>4943367666</v>
      </c>
      <c r="L494" s="23"/>
      <c r="M494" s="126">
        <f>+Tabla134[[#This Row],[PF AJUSTE 1]]+Tabla134[[#This Row],[AJUSTE 2]]</f>
        <v>4943367666</v>
      </c>
    </row>
    <row r="495" spans="2:13" ht="30" customHeight="1" x14ac:dyDescent="0.2">
      <c r="B495" s="16"/>
      <c r="C495" s="16"/>
      <c r="D495" s="16"/>
      <c r="E495" s="16"/>
      <c r="F495" s="16"/>
      <c r="G495" s="16"/>
      <c r="H495" s="21" t="s">
        <v>557</v>
      </c>
      <c r="I495" s="18"/>
      <c r="J495" s="22" t="s">
        <v>370</v>
      </c>
      <c r="K495" s="157">
        <f>+K496</f>
        <v>104198459</v>
      </c>
      <c r="L495" s="157">
        <f t="shared" ref="L495:M495" si="215">+L496</f>
        <v>0</v>
      </c>
      <c r="M495" s="157">
        <f t="shared" si="215"/>
        <v>104198459</v>
      </c>
    </row>
    <row r="496" spans="2:13" ht="30" customHeight="1" x14ac:dyDescent="0.2">
      <c r="B496" s="16" t="s">
        <v>1002</v>
      </c>
      <c r="C496" s="16" t="s">
        <v>1006</v>
      </c>
      <c r="D496" s="16" t="s">
        <v>1050</v>
      </c>
      <c r="E496" s="16" t="s">
        <v>1021</v>
      </c>
      <c r="F496" s="16" t="s">
        <v>1022</v>
      </c>
      <c r="G496" s="16" t="s">
        <v>1025</v>
      </c>
      <c r="H496" s="21" t="s">
        <v>558</v>
      </c>
      <c r="I496" s="18" t="str">
        <f t="shared" si="213"/>
        <v>103A</v>
      </c>
      <c r="J496" s="22" t="s">
        <v>370</v>
      </c>
      <c r="K496" s="126">
        <f>+Tabla13[[#This Row],[PF TOTAL]]</f>
        <v>104198459</v>
      </c>
      <c r="L496" s="23"/>
      <c r="M496" s="126">
        <f>+Tabla134[[#This Row],[PF AJUSTE 1]]+Tabla134[[#This Row],[AJUSTE 2]]</f>
        <v>104198459</v>
      </c>
    </row>
    <row r="497" spans="2:13" ht="15" customHeight="1" x14ac:dyDescent="0.2">
      <c r="B497" s="16"/>
      <c r="C497" s="16"/>
      <c r="D497" s="16"/>
      <c r="E497" s="16"/>
      <c r="F497" s="16"/>
      <c r="G497" s="16"/>
      <c r="H497" s="21" t="s">
        <v>559</v>
      </c>
      <c r="I497" s="18"/>
      <c r="J497" s="22" t="s">
        <v>373</v>
      </c>
      <c r="K497" s="157">
        <f>+K498+K499</f>
        <v>1965220320</v>
      </c>
      <c r="L497" s="157">
        <f t="shared" ref="L497:M497" si="216">+L498+L499</f>
        <v>0</v>
      </c>
      <c r="M497" s="157">
        <f t="shared" si="216"/>
        <v>1965220320</v>
      </c>
    </row>
    <row r="498" spans="2:13" ht="15" customHeight="1" x14ac:dyDescent="0.2">
      <c r="B498" s="16" t="s">
        <v>1002</v>
      </c>
      <c r="C498" s="16" t="s">
        <v>1006</v>
      </c>
      <c r="D498" s="16" t="s">
        <v>1050</v>
      </c>
      <c r="E498" s="16" t="s">
        <v>1021</v>
      </c>
      <c r="F498" s="16" t="s">
        <v>1022</v>
      </c>
      <c r="G498" s="16" t="s">
        <v>1025</v>
      </c>
      <c r="H498" s="21" t="s">
        <v>560</v>
      </c>
      <c r="I498" s="18" t="str">
        <f t="shared" si="213"/>
        <v>- 89</v>
      </c>
      <c r="J498" s="22" t="s">
        <v>373</v>
      </c>
      <c r="K498" s="126">
        <f>+Tabla13[[#This Row],[PF TOTAL]]</f>
        <v>0</v>
      </c>
      <c r="L498" s="23"/>
      <c r="M498" s="126">
        <f>+Tabla134[[#This Row],[PF AJUSTE 1]]+Tabla134[[#This Row],[AJUSTE 2]]</f>
        <v>0</v>
      </c>
    </row>
    <row r="499" spans="2:13" ht="15" customHeight="1" x14ac:dyDescent="0.2">
      <c r="B499" s="16" t="s">
        <v>1002</v>
      </c>
      <c r="C499" s="16" t="s">
        <v>1006</v>
      </c>
      <c r="D499" s="16" t="s">
        <v>1050</v>
      </c>
      <c r="E499" s="16" t="s">
        <v>1021</v>
      </c>
      <c r="F499" s="16" t="s">
        <v>1022</v>
      </c>
      <c r="G499" s="16" t="s">
        <v>1025</v>
      </c>
      <c r="H499" s="21" t="s">
        <v>561</v>
      </c>
      <c r="I499" s="18" t="str">
        <f t="shared" si="213"/>
        <v xml:space="preserve"> 89A</v>
      </c>
      <c r="J499" s="22" t="s">
        <v>373</v>
      </c>
      <c r="K499" s="126">
        <f>+Tabla13[[#This Row],[PF TOTAL]]</f>
        <v>1965220320</v>
      </c>
      <c r="L499" s="23"/>
      <c r="M499" s="126">
        <f>+Tabla134[[#This Row],[PF AJUSTE 1]]+Tabla134[[#This Row],[AJUSTE 2]]</f>
        <v>1965220320</v>
      </c>
    </row>
    <row r="500" spans="2:13" ht="30" customHeight="1" x14ac:dyDescent="0.2">
      <c r="B500" s="16"/>
      <c r="C500" s="16"/>
      <c r="D500" s="16"/>
      <c r="E500" s="16"/>
      <c r="F500" s="16"/>
      <c r="G500" s="16"/>
      <c r="H500" s="21" t="s">
        <v>562</v>
      </c>
      <c r="I500" s="18"/>
      <c r="J500" s="22" t="s">
        <v>197</v>
      </c>
      <c r="K500" s="157">
        <f>+K501</f>
        <v>6637978461</v>
      </c>
      <c r="L500" s="157">
        <f t="shared" ref="L500:M500" si="217">+L501</f>
        <v>0</v>
      </c>
      <c r="M500" s="157">
        <f t="shared" si="217"/>
        <v>6637978461</v>
      </c>
    </row>
    <row r="501" spans="2:13" ht="30" customHeight="1" x14ac:dyDescent="0.2">
      <c r="B501" s="16"/>
      <c r="C501" s="16"/>
      <c r="D501" s="16"/>
      <c r="E501" s="16"/>
      <c r="F501" s="16"/>
      <c r="G501" s="16"/>
      <c r="H501" s="21" t="s">
        <v>563</v>
      </c>
      <c r="I501" s="18"/>
      <c r="J501" s="22" t="s">
        <v>199</v>
      </c>
      <c r="K501" s="157">
        <f>+K502+K507</f>
        <v>6637978461</v>
      </c>
      <c r="L501" s="157">
        <f t="shared" ref="L501:M501" si="218">+L502+L507</f>
        <v>0</v>
      </c>
      <c r="M501" s="157">
        <f t="shared" si="218"/>
        <v>6637978461</v>
      </c>
    </row>
    <row r="502" spans="2:13" ht="15" customHeight="1" x14ac:dyDescent="0.2">
      <c r="B502" s="16"/>
      <c r="C502" s="16"/>
      <c r="D502" s="16"/>
      <c r="E502" s="16"/>
      <c r="F502" s="16"/>
      <c r="G502" s="16"/>
      <c r="H502" s="21" t="s">
        <v>564</v>
      </c>
      <c r="I502" s="18"/>
      <c r="J502" s="22" t="s">
        <v>201</v>
      </c>
      <c r="K502" s="157">
        <f>+K503+K505</f>
        <v>350490188</v>
      </c>
      <c r="L502" s="157">
        <f t="shared" ref="L502:M502" si="219">+L503+L505</f>
        <v>0</v>
      </c>
      <c r="M502" s="157">
        <f t="shared" si="219"/>
        <v>350490188</v>
      </c>
    </row>
    <row r="503" spans="2:13" ht="30" customHeight="1" x14ac:dyDescent="0.2">
      <c r="B503" s="16"/>
      <c r="C503" s="16"/>
      <c r="D503" s="16"/>
      <c r="E503" s="16"/>
      <c r="F503" s="16"/>
      <c r="G503" s="16"/>
      <c r="H503" s="21" t="s">
        <v>565</v>
      </c>
      <c r="I503" s="18"/>
      <c r="J503" s="22" t="s">
        <v>203</v>
      </c>
      <c r="K503" s="157">
        <f>+K504</f>
        <v>248369853</v>
      </c>
      <c r="L503" s="157">
        <f t="shared" ref="L503:M503" si="220">+L504</f>
        <v>0</v>
      </c>
      <c r="M503" s="157">
        <f t="shared" si="220"/>
        <v>248369853</v>
      </c>
    </row>
    <row r="504" spans="2:13" ht="30" customHeight="1" x14ac:dyDescent="0.2">
      <c r="B504" s="16" t="s">
        <v>1002</v>
      </c>
      <c r="C504" s="16" t="s">
        <v>1006</v>
      </c>
      <c r="D504" s="16" t="s">
        <v>1050</v>
      </c>
      <c r="E504" s="16" t="s">
        <v>1021</v>
      </c>
      <c r="F504" s="16" t="s">
        <v>1022</v>
      </c>
      <c r="G504" s="16" t="s">
        <v>1025</v>
      </c>
      <c r="H504" s="21" t="s">
        <v>566</v>
      </c>
      <c r="I504" s="18" t="str">
        <f>RIGHT(H504,4)</f>
        <v xml:space="preserve"> 150</v>
      </c>
      <c r="J504" s="22" t="s">
        <v>203</v>
      </c>
      <c r="K504" s="126">
        <f>+Tabla13[[#This Row],[PF TOTAL]]</f>
        <v>248369853</v>
      </c>
      <c r="L504" s="23"/>
      <c r="M504" s="126">
        <f>+Tabla134[[#This Row],[PF AJUSTE 1]]+Tabla134[[#This Row],[AJUSTE 2]]</f>
        <v>248369853</v>
      </c>
    </row>
    <row r="505" spans="2:13" ht="30" customHeight="1" x14ac:dyDescent="0.2">
      <c r="B505" s="16"/>
      <c r="C505" s="16"/>
      <c r="D505" s="16"/>
      <c r="E505" s="16"/>
      <c r="F505" s="16"/>
      <c r="G505" s="16"/>
      <c r="H505" s="21" t="s">
        <v>567</v>
      </c>
      <c r="I505" s="18"/>
      <c r="J505" s="22" t="s">
        <v>207</v>
      </c>
      <c r="K505" s="157">
        <f>+K506</f>
        <v>102120335</v>
      </c>
      <c r="L505" s="157">
        <f t="shared" ref="L505:M505" si="221">+L506</f>
        <v>0</v>
      </c>
      <c r="M505" s="157">
        <f t="shared" si="221"/>
        <v>102120335</v>
      </c>
    </row>
    <row r="506" spans="2:13" ht="30" customHeight="1" x14ac:dyDescent="0.2">
      <c r="B506" s="16" t="s">
        <v>1002</v>
      </c>
      <c r="C506" s="16" t="s">
        <v>1006</v>
      </c>
      <c r="D506" s="16" t="s">
        <v>1050</v>
      </c>
      <c r="E506" s="16" t="s">
        <v>1021</v>
      </c>
      <c r="F506" s="16" t="s">
        <v>1022</v>
      </c>
      <c r="G506" s="16" t="s">
        <v>1025</v>
      </c>
      <c r="H506" s="21" t="s">
        <v>568</v>
      </c>
      <c r="I506" s="18" t="str">
        <f>RIGHT(H506,4)</f>
        <v xml:space="preserve"> 150</v>
      </c>
      <c r="J506" s="22" t="s">
        <v>207</v>
      </c>
      <c r="K506" s="126">
        <f>+Tabla13[[#This Row],[PF TOTAL]]</f>
        <v>102120335</v>
      </c>
      <c r="L506" s="23"/>
      <c r="M506" s="126">
        <f>+Tabla134[[#This Row],[PF AJUSTE 1]]+Tabla134[[#This Row],[AJUSTE 2]]</f>
        <v>102120335</v>
      </c>
    </row>
    <row r="507" spans="2:13" ht="15" customHeight="1" x14ac:dyDescent="0.2">
      <c r="B507" s="16"/>
      <c r="C507" s="16"/>
      <c r="D507" s="16"/>
      <c r="E507" s="16"/>
      <c r="F507" s="16"/>
      <c r="G507" s="16"/>
      <c r="H507" s="21" t="s">
        <v>569</v>
      </c>
      <c r="I507" s="18"/>
      <c r="J507" s="22" t="s">
        <v>211</v>
      </c>
      <c r="K507" s="157">
        <f>+K508</f>
        <v>6287488273</v>
      </c>
      <c r="L507" s="157">
        <f t="shared" ref="L507:M507" si="222">+L508</f>
        <v>0</v>
      </c>
      <c r="M507" s="157">
        <f t="shared" si="222"/>
        <v>6287488273</v>
      </c>
    </row>
    <row r="508" spans="2:13" ht="15" customHeight="1" x14ac:dyDescent="0.2">
      <c r="B508" s="16"/>
      <c r="C508" s="16"/>
      <c r="D508" s="16"/>
      <c r="E508" s="16"/>
      <c r="F508" s="16"/>
      <c r="G508" s="16"/>
      <c r="H508" s="21" t="s">
        <v>570</v>
      </c>
      <c r="I508" s="18"/>
      <c r="J508" s="22" t="s">
        <v>213</v>
      </c>
      <c r="K508" s="157">
        <f>+K509+K511</f>
        <v>6287488273</v>
      </c>
      <c r="L508" s="157">
        <f t="shared" ref="L508:M508" si="223">+L509+L511</f>
        <v>0</v>
      </c>
      <c r="M508" s="157">
        <f t="shared" si="223"/>
        <v>6287488273</v>
      </c>
    </row>
    <row r="509" spans="2:13" ht="30" customHeight="1" x14ac:dyDescent="0.2">
      <c r="B509" s="16"/>
      <c r="C509" s="16"/>
      <c r="D509" s="16"/>
      <c r="E509" s="16"/>
      <c r="F509" s="16"/>
      <c r="G509" s="16"/>
      <c r="H509" s="21" t="s">
        <v>571</v>
      </c>
      <c r="I509" s="18"/>
      <c r="J509" s="22" t="s">
        <v>215</v>
      </c>
      <c r="K509" s="157">
        <f>+K510</f>
        <v>3991648160</v>
      </c>
      <c r="L509" s="157">
        <f t="shared" ref="L509:M509" si="224">+L510</f>
        <v>0</v>
      </c>
      <c r="M509" s="157">
        <f t="shared" si="224"/>
        <v>3991648160</v>
      </c>
    </row>
    <row r="510" spans="2:13" ht="30" customHeight="1" x14ac:dyDescent="0.2">
      <c r="B510" s="16" t="s">
        <v>1002</v>
      </c>
      <c r="C510" s="16" t="s">
        <v>1006</v>
      </c>
      <c r="D510" s="16" t="s">
        <v>1050</v>
      </c>
      <c r="E510" s="16" t="s">
        <v>1021</v>
      </c>
      <c r="F510" s="16" t="s">
        <v>1022</v>
      </c>
      <c r="G510" s="16" t="s">
        <v>1025</v>
      </c>
      <c r="H510" s="21" t="s">
        <v>572</v>
      </c>
      <c r="I510" s="18" t="str">
        <f>RIGHT(H510,4)</f>
        <v xml:space="preserve"> 150</v>
      </c>
      <c r="J510" s="22" t="s">
        <v>215</v>
      </c>
      <c r="K510" s="126">
        <f>+Tabla13[[#This Row],[PF TOTAL]]</f>
        <v>3991648160</v>
      </c>
      <c r="L510" s="23"/>
      <c r="M510" s="126">
        <f>+Tabla134[[#This Row],[PF AJUSTE 1]]+Tabla134[[#This Row],[AJUSTE 2]]</f>
        <v>3991648160</v>
      </c>
    </row>
    <row r="511" spans="2:13" ht="30" customHeight="1" x14ac:dyDescent="0.2">
      <c r="B511" s="16"/>
      <c r="C511" s="16"/>
      <c r="D511" s="16"/>
      <c r="E511" s="16"/>
      <c r="F511" s="16"/>
      <c r="G511" s="16"/>
      <c r="H511" s="21" t="s">
        <v>573</v>
      </c>
      <c r="I511" s="18"/>
      <c r="J511" s="22" t="s">
        <v>219</v>
      </c>
      <c r="K511" s="157">
        <f>+K512</f>
        <v>2295840113</v>
      </c>
      <c r="L511" s="157">
        <f t="shared" ref="L511:M512" si="225">+L512</f>
        <v>0</v>
      </c>
      <c r="M511" s="157">
        <f t="shared" si="225"/>
        <v>2295840113</v>
      </c>
    </row>
    <row r="512" spans="2:13" ht="30" customHeight="1" x14ac:dyDescent="0.2">
      <c r="B512" s="16"/>
      <c r="C512" s="16"/>
      <c r="D512" s="16"/>
      <c r="E512" s="16"/>
      <c r="F512" s="16"/>
      <c r="G512" s="16"/>
      <c r="H512" s="21" t="s">
        <v>574</v>
      </c>
      <c r="I512" s="18"/>
      <c r="J512" s="22" t="s">
        <v>221</v>
      </c>
      <c r="K512" s="157">
        <f>+K513</f>
        <v>2295840113</v>
      </c>
      <c r="L512" s="157">
        <f t="shared" si="225"/>
        <v>0</v>
      </c>
      <c r="M512" s="157">
        <f t="shared" si="225"/>
        <v>2295840113</v>
      </c>
    </row>
    <row r="513" spans="2:13" ht="30" customHeight="1" x14ac:dyDescent="0.2">
      <c r="B513" s="16" t="s">
        <v>1002</v>
      </c>
      <c r="C513" s="16" t="s">
        <v>1006</v>
      </c>
      <c r="D513" s="16" t="s">
        <v>1050</v>
      </c>
      <c r="E513" s="16" t="s">
        <v>1021</v>
      </c>
      <c r="F513" s="16" t="s">
        <v>1022</v>
      </c>
      <c r="G513" s="16" t="s">
        <v>1025</v>
      </c>
      <c r="H513" s="21" t="s">
        <v>575</v>
      </c>
      <c r="I513" s="18" t="str">
        <f>RIGHT(H513,4)</f>
        <v>150A</v>
      </c>
      <c r="J513" s="22" t="s">
        <v>221</v>
      </c>
      <c r="K513" s="126">
        <f>+Tabla13[[#This Row],[PF TOTAL]]</f>
        <v>2295840113</v>
      </c>
      <c r="L513" s="23"/>
      <c r="M513" s="126">
        <f>+Tabla134[[#This Row],[PF AJUSTE 1]]+Tabla134[[#This Row],[AJUSTE 2]]</f>
        <v>2295840113</v>
      </c>
    </row>
    <row r="514" spans="2:13" s="13" customFormat="1" ht="15.75" customHeight="1" x14ac:dyDescent="0.25">
      <c r="B514" s="24"/>
      <c r="C514" s="24"/>
      <c r="D514" s="24"/>
      <c r="E514" s="24"/>
      <c r="F514" s="24"/>
      <c r="G514" s="24"/>
      <c r="H514" s="17" t="s">
        <v>576</v>
      </c>
      <c r="I514" s="18"/>
      <c r="J514" s="19" t="s">
        <v>225</v>
      </c>
      <c r="K514" s="156">
        <f>+K515+K520+K528</f>
        <v>1695046049</v>
      </c>
      <c r="L514" s="156">
        <f t="shared" ref="L514:M514" si="226">+L515+L520+L528</f>
        <v>0</v>
      </c>
      <c r="M514" s="156">
        <f t="shared" si="226"/>
        <v>1695046049</v>
      </c>
    </row>
    <row r="515" spans="2:13" s="13" customFormat="1" ht="15.75" customHeight="1" x14ac:dyDescent="0.25">
      <c r="B515" s="24"/>
      <c r="C515" s="24"/>
      <c r="D515" s="24"/>
      <c r="E515" s="24"/>
      <c r="F515" s="24"/>
      <c r="G515" s="24"/>
      <c r="H515" s="17" t="s">
        <v>577</v>
      </c>
      <c r="I515" s="18"/>
      <c r="J515" s="19" t="s">
        <v>239</v>
      </c>
      <c r="K515" s="156">
        <f>+K516</f>
        <v>0</v>
      </c>
      <c r="L515" s="156">
        <f t="shared" ref="L515:M515" si="227">+L516</f>
        <v>0</v>
      </c>
      <c r="M515" s="156">
        <f t="shared" si="227"/>
        <v>0</v>
      </c>
    </row>
    <row r="516" spans="2:13" ht="15" customHeight="1" x14ac:dyDescent="0.2">
      <c r="B516" s="16"/>
      <c r="C516" s="16"/>
      <c r="D516" s="16"/>
      <c r="E516" s="16"/>
      <c r="F516" s="16"/>
      <c r="G516" s="16"/>
      <c r="H516" s="21" t="s">
        <v>578</v>
      </c>
      <c r="I516" s="18"/>
      <c r="J516" s="22" t="s">
        <v>241</v>
      </c>
      <c r="K516" s="157">
        <f>SUM(K517:K519)</f>
        <v>0</v>
      </c>
      <c r="L516" s="157">
        <f t="shared" ref="L516:M516" si="228">SUM(L517:L519)</f>
        <v>0</v>
      </c>
      <c r="M516" s="157">
        <f t="shared" si="228"/>
        <v>0</v>
      </c>
    </row>
    <row r="517" spans="2:13" ht="15" customHeight="1" x14ac:dyDescent="0.2">
      <c r="B517" s="16" t="s">
        <v>1002</v>
      </c>
      <c r="C517" s="16" t="s">
        <v>1006</v>
      </c>
      <c r="D517" s="16" t="s">
        <v>1050</v>
      </c>
      <c r="E517" s="16" t="s">
        <v>1021</v>
      </c>
      <c r="F517" s="16" t="s">
        <v>1023</v>
      </c>
      <c r="G517" s="16" t="s">
        <v>1028</v>
      </c>
      <c r="H517" s="21" t="s">
        <v>579</v>
      </c>
      <c r="I517" s="18" t="str">
        <f>RIGHT(H517,4)</f>
        <v>106F</v>
      </c>
      <c r="J517" s="22" t="s">
        <v>241</v>
      </c>
      <c r="K517" s="126">
        <f>+Tabla13[[#This Row],[PF TOTAL]]</f>
        <v>0</v>
      </c>
      <c r="L517" s="23"/>
      <c r="M517" s="126">
        <f>+Tabla134[[#This Row],[PF AJUSTE 1]]+Tabla134[[#This Row],[AJUSTE 2]]</f>
        <v>0</v>
      </c>
    </row>
    <row r="518" spans="2:13" ht="15" customHeight="1" x14ac:dyDescent="0.2">
      <c r="B518" s="16" t="s">
        <v>1002</v>
      </c>
      <c r="C518" s="16" t="s">
        <v>1006</v>
      </c>
      <c r="D518" s="16" t="s">
        <v>1050</v>
      </c>
      <c r="E518" s="16" t="s">
        <v>1021</v>
      </c>
      <c r="F518" s="16" t="s">
        <v>1023</v>
      </c>
      <c r="G518" s="16" t="s">
        <v>1028</v>
      </c>
      <c r="H518" s="21" t="s">
        <v>580</v>
      </c>
      <c r="I518" s="18" t="str">
        <f>RIGHT(H518,4)</f>
        <v xml:space="preserve"> 29F</v>
      </c>
      <c r="J518" s="22" t="s">
        <v>241</v>
      </c>
      <c r="K518" s="126">
        <f>+Tabla13[[#This Row],[PF TOTAL]]</f>
        <v>0</v>
      </c>
      <c r="L518" s="23"/>
      <c r="M518" s="126">
        <f>+Tabla134[[#This Row],[PF AJUSTE 1]]+Tabla134[[#This Row],[AJUSTE 2]]</f>
        <v>0</v>
      </c>
    </row>
    <row r="519" spans="2:13" s="13" customFormat="1" ht="15.75" customHeight="1" x14ac:dyDescent="0.25">
      <c r="B519" s="16" t="s">
        <v>1002</v>
      </c>
      <c r="C519" s="16" t="s">
        <v>1006</v>
      </c>
      <c r="D519" s="16" t="s">
        <v>1050</v>
      </c>
      <c r="E519" s="16" t="s">
        <v>1021</v>
      </c>
      <c r="F519" s="16" t="s">
        <v>1023</v>
      </c>
      <c r="G519" s="16" t="s">
        <v>1028</v>
      </c>
      <c r="H519" s="21" t="s">
        <v>581</v>
      </c>
      <c r="I519" s="18" t="str">
        <f>RIGHT(H519,4)</f>
        <v xml:space="preserve"> 89F</v>
      </c>
      <c r="J519" s="22" t="s">
        <v>241</v>
      </c>
      <c r="K519" s="126">
        <f>+Tabla13[[#This Row],[PF TOTAL]]</f>
        <v>0</v>
      </c>
      <c r="L519" s="23"/>
      <c r="M519" s="126">
        <f>+Tabla134[[#This Row],[PF AJUSTE 1]]+Tabla134[[#This Row],[AJUSTE 2]]</f>
        <v>0</v>
      </c>
    </row>
    <row r="520" spans="2:13" s="13" customFormat="1" ht="15.75" customHeight="1" x14ac:dyDescent="0.25">
      <c r="B520" s="24"/>
      <c r="C520" s="24"/>
      <c r="D520" s="24"/>
      <c r="E520" s="24"/>
      <c r="F520" s="24"/>
      <c r="G520" s="24"/>
      <c r="H520" s="17" t="s">
        <v>582</v>
      </c>
      <c r="I520" s="18"/>
      <c r="J520" s="19" t="s">
        <v>583</v>
      </c>
      <c r="K520" s="156">
        <f>+K521</f>
        <v>1695046049</v>
      </c>
      <c r="L520" s="156">
        <f t="shared" ref="L520:M520" si="229">+L521</f>
        <v>0</v>
      </c>
      <c r="M520" s="156">
        <f t="shared" si="229"/>
        <v>1695046049</v>
      </c>
    </row>
    <row r="521" spans="2:13" ht="15" customHeight="1" x14ac:dyDescent="0.2">
      <c r="B521" s="16"/>
      <c r="C521" s="16"/>
      <c r="D521" s="16"/>
      <c r="E521" s="16"/>
      <c r="F521" s="16"/>
      <c r="G521" s="16"/>
      <c r="H521" s="21" t="s">
        <v>584</v>
      </c>
      <c r="I521" s="18"/>
      <c r="J521" s="22" t="s">
        <v>585</v>
      </c>
      <c r="K521" s="157">
        <f>+K522+K524+K526</f>
        <v>1695046049</v>
      </c>
      <c r="L521" s="157">
        <f t="shared" ref="L521:M521" si="230">+L522+L524+L526</f>
        <v>0</v>
      </c>
      <c r="M521" s="157">
        <f t="shared" si="230"/>
        <v>1695046049</v>
      </c>
    </row>
    <row r="522" spans="2:13" ht="15" customHeight="1" x14ac:dyDescent="0.2">
      <c r="B522" s="16"/>
      <c r="C522" s="16"/>
      <c r="D522" s="16"/>
      <c r="E522" s="16"/>
      <c r="F522" s="16"/>
      <c r="G522" s="16"/>
      <c r="H522" s="21" t="s">
        <v>586</v>
      </c>
      <c r="I522" s="18"/>
      <c r="J522" s="22" t="s">
        <v>587</v>
      </c>
      <c r="K522" s="157">
        <f>+K523</f>
        <v>300533900</v>
      </c>
      <c r="L522" s="157">
        <f t="shared" ref="L522:M522" si="231">+L523</f>
        <v>0</v>
      </c>
      <c r="M522" s="157">
        <f t="shared" si="231"/>
        <v>300533900</v>
      </c>
    </row>
    <row r="523" spans="2:13" ht="15" customHeight="1" x14ac:dyDescent="0.2">
      <c r="B523" s="16" t="s">
        <v>1002</v>
      </c>
      <c r="C523" s="16" t="s">
        <v>1006</v>
      </c>
      <c r="D523" s="16" t="s">
        <v>1050</v>
      </c>
      <c r="E523" s="16" t="s">
        <v>1021</v>
      </c>
      <c r="F523" s="16" t="s">
        <v>1023</v>
      </c>
      <c r="G523" s="16" t="s">
        <v>1035</v>
      </c>
      <c r="H523" s="21" t="s">
        <v>588</v>
      </c>
      <c r="I523" s="18" t="str">
        <f>RIGHT(H523,4)</f>
        <v xml:space="preserve"> 76A</v>
      </c>
      <c r="J523" s="22" t="s">
        <v>587</v>
      </c>
      <c r="K523" s="126">
        <f>+Tabla13[[#This Row],[PF TOTAL]]</f>
        <v>300533900</v>
      </c>
      <c r="L523" s="23"/>
      <c r="M523" s="126">
        <f>+Tabla134[[#This Row],[PF AJUSTE 1]]+Tabla134[[#This Row],[AJUSTE 2]]</f>
        <v>300533900</v>
      </c>
    </row>
    <row r="524" spans="2:13" ht="15" customHeight="1" x14ac:dyDescent="0.2">
      <c r="B524" s="16"/>
      <c r="C524" s="16"/>
      <c r="D524" s="16"/>
      <c r="E524" s="16"/>
      <c r="F524" s="16"/>
      <c r="G524" s="16"/>
      <c r="H524" s="21" t="s">
        <v>589</v>
      </c>
      <c r="I524" s="18"/>
      <c r="J524" s="22" t="s">
        <v>590</v>
      </c>
      <c r="K524" s="157">
        <f>+K525</f>
        <v>681397330</v>
      </c>
      <c r="L524" s="157">
        <f t="shared" ref="L524:M524" si="232">+L525</f>
        <v>0</v>
      </c>
      <c r="M524" s="157">
        <f t="shared" si="232"/>
        <v>681397330</v>
      </c>
    </row>
    <row r="525" spans="2:13" ht="15" customHeight="1" x14ac:dyDescent="0.2">
      <c r="B525" s="16" t="s">
        <v>1002</v>
      </c>
      <c r="C525" s="16" t="s">
        <v>1006</v>
      </c>
      <c r="D525" s="16" t="s">
        <v>1050</v>
      </c>
      <c r="E525" s="16" t="s">
        <v>1021</v>
      </c>
      <c r="F525" s="16" t="s">
        <v>1023</v>
      </c>
      <c r="G525" s="16" t="s">
        <v>1035</v>
      </c>
      <c r="H525" s="21" t="s">
        <v>591</v>
      </c>
      <c r="I525" s="18" t="str">
        <f>RIGHT(H525,4)</f>
        <v xml:space="preserve"> 75A</v>
      </c>
      <c r="J525" s="22" t="s">
        <v>590</v>
      </c>
      <c r="K525" s="126">
        <f>+Tabla13[[#This Row],[PF TOTAL]]</f>
        <v>681397330</v>
      </c>
      <c r="L525" s="23"/>
      <c r="M525" s="126">
        <f>+Tabla134[[#This Row],[PF AJUSTE 1]]+Tabla134[[#This Row],[AJUSTE 2]]</f>
        <v>681397330</v>
      </c>
    </row>
    <row r="526" spans="2:13" ht="15" customHeight="1" x14ac:dyDescent="0.2">
      <c r="B526" s="16"/>
      <c r="C526" s="16"/>
      <c r="D526" s="16"/>
      <c r="E526" s="16"/>
      <c r="F526" s="16"/>
      <c r="G526" s="16"/>
      <c r="H526" s="21" t="s">
        <v>592</v>
      </c>
      <c r="I526" s="18"/>
      <c r="J526" s="22" t="s">
        <v>593</v>
      </c>
      <c r="K526" s="157">
        <f>+K527</f>
        <v>713114819</v>
      </c>
      <c r="L526" s="157">
        <f t="shared" ref="L526:M526" si="233">+L527</f>
        <v>0</v>
      </c>
      <c r="M526" s="157">
        <f t="shared" si="233"/>
        <v>713114819</v>
      </c>
    </row>
    <row r="527" spans="2:13" ht="15.75" customHeight="1" x14ac:dyDescent="0.2">
      <c r="B527" s="16" t="s">
        <v>1002</v>
      </c>
      <c r="C527" s="16" t="s">
        <v>1006</v>
      </c>
      <c r="D527" s="16" t="s">
        <v>1050</v>
      </c>
      <c r="E527" s="16" t="s">
        <v>1021</v>
      </c>
      <c r="F527" s="16" t="s">
        <v>1023</v>
      </c>
      <c r="G527" s="16" t="s">
        <v>1035</v>
      </c>
      <c r="H527" s="21" t="s">
        <v>594</v>
      </c>
      <c r="I527" s="18" t="str">
        <f>RIGHT(H527,4)</f>
        <v xml:space="preserve"> 75A</v>
      </c>
      <c r="J527" s="22" t="s">
        <v>593</v>
      </c>
      <c r="K527" s="126">
        <f>+Tabla13[[#This Row],[PF TOTAL]]</f>
        <v>713114819</v>
      </c>
      <c r="L527" s="23"/>
      <c r="M527" s="126">
        <f>+Tabla134[[#This Row],[PF AJUSTE 1]]+Tabla134[[#This Row],[AJUSTE 2]]</f>
        <v>713114819</v>
      </c>
    </row>
    <row r="528" spans="2:13" s="13" customFormat="1" ht="15.75" customHeight="1" x14ac:dyDescent="0.25">
      <c r="B528" s="24"/>
      <c r="C528" s="24"/>
      <c r="D528" s="24"/>
      <c r="E528" s="24"/>
      <c r="F528" s="24"/>
      <c r="G528" s="24"/>
      <c r="H528" s="17" t="s">
        <v>595</v>
      </c>
      <c r="I528" s="18"/>
      <c r="J528" s="19" t="s">
        <v>273</v>
      </c>
      <c r="K528" s="156">
        <f>+K529</f>
        <v>0</v>
      </c>
      <c r="L528" s="156">
        <f t="shared" ref="L528:M528" si="234">+L529</f>
        <v>0</v>
      </c>
      <c r="M528" s="156">
        <f t="shared" si="234"/>
        <v>0</v>
      </c>
    </row>
    <row r="529" spans="2:13" ht="15" customHeight="1" x14ac:dyDescent="0.2">
      <c r="B529" s="16"/>
      <c r="C529" s="16"/>
      <c r="D529" s="16"/>
      <c r="E529" s="16"/>
      <c r="F529" s="16"/>
      <c r="G529" s="16"/>
      <c r="H529" s="21" t="s">
        <v>596</v>
      </c>
      <c r="I529" s="18"/>
      <c r="J529" s="22" t="s">
        <v>275</v>
      </c>
      <c r="K529" s="157">
        <f>SUM(K530:K537)</f>
        <v>0</v>
      </c>
      <c r="L529" s="157">
        <f t="shared" ref="L529:M529" si="235">SUM(L530:L537)</f>
        <v>0</v>
      </c>
      <c r="M529" s="157">
        <f t="shared" si="235"/>
        <v>0</v>
      </c>
    </row>
    <row r="530" spans="2:13" ht="15" customHeight="1" x14ac:dyDescent="0.2">
      <c r="B530" s="16" t="s">
        <v>1002</v>
      </c>
      <c r="C530" s="16" t="s">
        <v>1006</v>
      </c>
      <c r="D530" s="16" t="s">
        <v>1050</v>
      </c>
      <c r="E530" s="16" t="s">
        <v>1021</v>
      </c>
      <c r="F530" s="16" t="s">
        <v>1023</v>
      </c>
      <c r="G530" s="16" t="s">
        <v>1031</v>
      </c>
      <c r="H530" s="21" t="s">
        <v>751</v>
      </c>
      <c r="I530" s="18" t="str">
        <f t="shared" ref="I530:I537" si="236">RIGHT(H530,4)</f>
        <v>103A</v>
      </c>
      <c r="J530" s="22" t="s">
        <v>275</v>
      </c>
      <c r="K530" s="126">
        <f>+Tabla13[[#This Row],[PF TOTAL]]</f>
        <v>0</v>
      </c>
      <c r="L530" s="23"/>
      <c r="M530" s="126">
        <f>+Tabla134[[#This Row],[PF AJUSTE 1]]+Tabla134[[#This Row],[AJUSTE 2]]</f>
        <v>0</v>
      </c>
    </row>
    <row r="531" spans="2:13" ht="15" customHeight="1" x14ac:dyDescent="0.2">
      <c r="B531" s="16" t="s">
        <v>1002</v>
      </c>
      <c r="C531" s="16" t="s">
        <v>1006</v>
      </c>
      <c r="D531" s="16" t="s">
        <v>1050</v>
      </c>
      <c r="E531" s="16" t="s">
        <v>1021</v>
      </c>
      <c r="F531" s="16" t="s">
        <v>1023</v>
      </c>
      <c r="G531" s="16" t="s">
        <v>1031</v>
      </c>
      <c r="H531" s="21" t="s">
        <v>752</v>
      </c>
      <c r="I531" s="18" t="str">
        <f t="shared" si="236"/>
        <v>150A</v>
      </c>
      <c r="J531" s="22" t="s">
        <v>275</v>
      </c>
      <c r="K531" s="126">
        <f>+Tabla13[[#This Row],[PF TOTAL]]</f>
        <v>0</v>
      </c>
      <c r="L531" s="23"/>
      <c r="M531" s="126">
        <f>+Tabla134[[#This Row],[PF AJUSTE 1]]+Tabla134[[#This Row],[AJUSTE 2]]</f>
        <v>0</v>
      </c>
    </row>
    <row r="532" spans="2:13" ht="15" customHeight="1" x14ac:dyDescent="0.2">
      <c r="B532" s="16" t="s">
        <v>1002</v>
      </c>
      <c r="C532" s="16" t="s">
        <v>1006</v>
      </c>
      <c r="D532" s="16" t="s">
        <v>1050</v>
      </c>
      <c r="E532" s="16" t="s">
        <v>1021</v>
      </c>
      <c r="F532" s="16" t="s">
        <v>1023</v>
      </c>
      <c r="G532" s="16" t="s">
        <v>1031</v>
      </c>
      <c r="H532" s="21" t="s">
        <v>753</v>
      </c>
      <c r="I532" s="18" t="str">
        <f t="shared" si="236"/>
        <v xml:space="preserve"> 29A</v>
      </c>
      <c r="J532" s="22" t="s">
        <v>275</v>
      </c>
      <c r="K532" s="126">
        <f>+Tabla13[[#This Row],[PF TOTAL]]</f>
        <v>0</v>
      </c>
      <c r="L532" s="23"/>
      <c r="M532" s="126">
        <f>+Tabla134[[#This Row],[PF AJUSTE 1]]+Tabla134[[#This Row],[AJUSTE 2]]</f>
        <v>0</v>
      </c>
    </row>
    <row r="533" spans="2:13" ht="15" customHeight="1" x14ac:dyDescent="0.2">
      <c r="B533" s="16" t="s">
        <v>1002</v>
      </c>
      <c r="C533" s="16" t="s">
        <v>1006</v>
      </c>
      <c r="D533" s="16" t="s">
        <v>1050</v>
      </c>
      <c r="E533" s="16" t="s">
        <v>1021</v>
      </c>
      <c r="F533" s="16" t="s">
        <v>1023</v>
      </c>
      <c r="G533" s="16" t="s">
        <v>1031</v>
      </c>
      <c r="H533" s="21" t="s">
        <v>754</v>
      </c>
      <c r="I533" s="18" t="str">
        <f t="shared" si="236"/>
        <v xml:space="preserve"> 56A</v>
      </c>
      <c r="J533" s="22" t="s">
        <v>275</v>
      </c>
      <c r="K533" s="126">
        <f>+Tabla13[[#This Row],[PF TOTAL]]</f>
        <v>0</v>
      </c>
      <c r="L533" s="23"/>
      <c r="M533" s="126">
        <f>+Tabla134[[#This Row],[PF AJUSTE 1]]+Tabla134[[#This Row],[AJUSTE 2]]</f>
        <v>0</v>
      </c>
    </row>
    <row r="534" spans="2:13" ht="15" customHeight="1" x14ac:dyDescent="0.2">
      <c r="B534" s="16" t="s">
        <v>1002</v>
      </c>
      <c r="C534" s="16" t="s">
        <v>1006</v>
      </c>
      <c r="D534" s="16" t="s">
        <v>1050</v>
      </c>
      <c r="E534" s="16" t="s">
        <v>1021</v>
      </c>
      <c r="F534" s="16" t="s">
        <v>1023</v>
      </c>
      <c r="G534" s="16" t="s">
        <v>1031</v>
      </c>
      <c r="H534" s="21" t="s">
        <v>755</v>
      </c>
      <c r="I534" s="18" t="str">
        <f t="shared" si="236"/>
        <v xml:space="preserve"> 70A</v>
      </c>
      <c r="J534" s="22" t="s">
        <v>275</v>
      </c>
      <c r="K534" s="126">
        <f>+Tabla13[[#This Row],[PF TOTAL]]</f>
        <v>0</v>
      </c>
      <c r="L534" s="23"/>
      <c r="M534" s="126">
        <f>+Tabla134[[#This Row],[PF AJUSTE 1]]+Tabla134[[#This Row],[AJUSTE 2]]</f>
        <v>0</v>
      </c>
    </row>
    <row r="535" spans="2:13" ht="15" customHeight="1" x14ac:dyDescent="0.2">
      <c r="B535" s="16" t="s">
        <v>1002</v>
      </c>
      <c r="C535" s="16" t="s">
        <v>1006</v>
      </c>
      <c r="D535" s="16" t="s">
        <v>1050</v>
      </c>
      <c r="E535" s="16" t="s">
        <v>1021</v>
      </c>
      <c r="F535" s="16" t="s">
        <v>1023</v>
      </c>
      <c r="G535" s="16" t="s">
        <v>1031</v>
      </c>
      <c r="H535" s="21" t="s">
        <v>756</v>
      </c>
      <c r="I535" s="18" t="str">
        <f t="shared" si="236"/>
        <v xml:space="preserve"> 71A</v>
      </c>
      <c r="J535" s="22" t="s">
        <v>275</v>
      </c>
      <c r="K535" s="126">
        <f>+Tabla13[[#This Row],[PF TOTAL]]</f>
        <v>0</v>
      </c>
      <c r="L535" s="23"/>
      <c r="M535" s="126">
        <f>+Tabla134[[#This Row],[PF AJUSTE 1]]+Tabla134[[#This Row],[AJUSTE 2]]</f>
        <v>0</v>
      </c>
    </row>
    <row r="536" spans="2:13" ht="15" customHeight="1" x14ac:dyDescent="0.2">
      <c r="B536" s="16" t="s">
        <v>1002</v>
      </c>
      <c r="C536" s="16" t="s">
        <v>1006</v>
      </c>
      <c r="D536" s="16" t="s">
        <v>1050</v>
      </c>
      <c r="E536" s="16" t="s">
        <v>1021</v>
      </c>
      <c r="F536" s="16" t="s">
        <v>1023</v>
      </c>
      <c r="G536" s="16" t="s">
        <v>1031</v>
      </c>
      <c r="H536" s="21" t="s">
        <v>757</v>
      </c>
      <c r="I536" s="18" t="str">
        <f t="shared" si="236"/>
        <v xml:space="preserve"> 72A</v>
      </c>
      <c r="J536" s="22" t="s">
        <v>275</v>
      </c>
      <c r="K536" s="126">
        <f>+Tabla13[[#This Row],[PF TOTAL]]</f>
        <v>0</v>
      </c>
      <c r="L536" s="23"/>
      <c r="M536" s="126">
        <f>+Tabla134[[#This Row],[PF AJUSTE 1]]+Tabla134[[#This Row],[AJUSTE 2]]</f>
        <v>0</v>
      </c>
    </row>
    <row r="537" spans="2:13" ht="15.75" customHeight="1" x14ac:dyDescent="0.2">
      <c r="B537" s="16" t="s">
        <v>1002</v>
      </c>
      <c r="C537" s="16" t="s">
        <v>1006</v>
      </c>
      <c r="D537" s="16" t="s">
        <v>1050</v>
      </c>
      <c r="E537" s="16" t="s">
        <v>1021</v>
      </c>
      <c r="F537" s="16" t="s">
        <v>1023</v>
      </c>
      <c r="G537" s="16" t="s">
        <v>1031</v>
      </c>
      <c r="H537" s="45" t="s">
        <v>758</v>
      </c>
      <c r="I537" s="18" t="str">
        <f t="shared" si="236"/>
        <v xml:space="preserve"> 75A</v>
      </c>
      <c r="J537" s="22" t="s">
        <v>275</v>
      </c>
      <c r="K537" s="126">
        <f>+Tabla13[[#This Row],[PF TOTAL]]</f>
        <v>0</v>
      </c>
      <c r="L537" s="23"/>
      <c r="M537" s="126">
        <f>+Tabla134[[#This Row],[PF AJUSTE 1]]+Tabla134[[#This Row],[AJUSTE 2]]</f>
        <v>0</v>
      </c>
    </row>
    <row r="538" spans="2:13" ht="16.5" customHeight="1" x14ac:dyDescent="0.25">
      <c r="B538" s="16"/>
      <c r="C538" s="16"/>
      <c r="D538" s="16"/>
      <c r="E538" s="16"/>
      <c r="F538" s="16"/>
      <c r="G538" s="16"/>
      <c r="H538" s="25" t="s">
        <v>796</v>
      </c>
      <c r="I538" s="186"/>
      <c r="J538" s="25"/>
      <c r="K538" s="153">
        <f>+K454+K364+K393+K257</f>
        <v>136834714317</v>
      </c>
      <c r="L538" s="153">
        <f t="shared" ref="L538:M538" si="237">+L454+L364+L393+L257</f>
        <v>0</v>
      </c>
      <c r="M538" s="153">
        <f t="shared" si="237"/>
        <v>136834714317</v>
      </c>
    </row>
    <row r="539" spans="2:13" ht="12.75" customHeight="1" x14ac:dyDescent="0.2">
      <c r="B539" s="16"/>
      <c r="C539" s="16"/>
      <c r="D539" s="16"/>
      <c r="E539" s="16"/>
      <c r="F539" s="16"/>
      <c r="G539" s="16"/>
      <c r="H539" s="45"/>
      <c r="I539" s="46"/>
      <c r="J539" s="16"/>
      <c r="K539" s="154"/>
      <c r="L539" s="154"/>
      <c r="M539" s="154"/>
    </row>
    <row r="540" spans="2:13" ht="15.75" customHeight="1" x14ac:dyDescent="0.2">
      <c r="B540" s="16"/>
      <c r="C540" s="16"/>
      <c r="D540" s="16"/>
      <c r="E540" s="16"/>
      <c r="F540" s="16"/>
      <c r="G540" s="16"/>
      <c r="H540" s="28" t="s">
        <v>797</v>
      </c>
      <c r="I540" s="29"/>
      <c r="J540" s="30"/>
      <c r="K540" s="158"/>
      <c r="L540" s="158"/>
      <c r="M540" s="158"/>
    </row>
    <row r="541" spans="2:13" s="13" customFormat="1" ht="16.5" customHeight="1" x14ac:dyDescent="0.25">
      <c r="B541" s="24"/>
      <c r="C541" s="24"/>
      <c r="D541" s="24"/>
      <c r="E541" s="24"/>
      <c r="F541" s="24"/>
      <c r="G541" s="24"/>
      <c r="H541" s="31" t="s">
        <v>778</v>
      </c>
      <c r="I541" s="29"/>
      <c r="J541" s="32" t="s">
        <v>779</v>
      </c>
      <c r="K541" s="155"/>
      <c r="L541" s="155"/>
      <c r="M541" s="155"/>
    </row>
    <row r="542" spans="2:13" s="13" customFormat="1" ht="15.75" customHeight="1" x14ac:dyDescent="0.25">
      <c r="B542" s="24"/>
      <c r="C542" s="24"/>
      <c r="D542" s="24"/>
      <c r="E542" s="24"/>
      <c r="F542" s="24"/>
      <c r="G542" s="24"/>
      <c r="H542" s="17" t="s">
        <v>597</v>
      </c>
      <c r="I542" s="18"/>
      <c r="J542" s="19" t="s">
        <v>1</v>
      </c>
      <c r="K542" s="156">
        <f>+K543+K549</f>
        <v>21609919205</v>
      </c>
      <c r="L542" s="156">
        <f t="shared" ref="L542:M542" si="238">+L543+L549</f>
        <v>0</v>
      </c>
      <c r="M542" s="156">
        <f t="shared" si="238"/>
        <v>21609919205</v>
      </c>
    </row>
    <row r="543" spans="2:13" s="13" customFormat="1" ht="15.75" customHeight="1" x14ac:dyDescent="0.25">
      <c r="B543" s="24"/>
      <c r="C543" s="24"/>
      <c r="D543" s="24"/>
      <c r="E543" s="24"/>
      <c r="F543" s="24"/>
      <c r="G543" s="24"/>
      <c r="H543" s="17" t="s">
        <v>598</v>
      </c>
      <c r="I543" s="18"/>
      <c r="J543" s="19" t="s">
        <v>3</v>
      </c>
      <c r="K543" s="156">
        <f t="shared" ref="K543:M547" si="239">+K544</f>
        <v>20109919205</v>
      </c>
      <c r="L543" s="156">
        <f t="shared" si="239"/>
        <v>0</v>
      </c>
      <c r="M543" s="156">
        <f t="shared" si="239"/>
        <v>20109919205</v>
      </c>
    </row>
    <row r="544" spans="2:13" s="13" customFormat="1" ht="15.75" customHeight="1" x14ac:dyDescent="0.25">
      <c r="B544" s="24"/>
      <c r="C544" s="24"/>
      <c r="D544" s="24"/>
      <c r="E544" s="24"/>
      <c r="F544" s="24"/>
      <c r="G544" s="24"/>
      <c r="H544" s="17" t="s">
        <v>599</v>
      </c>
      <c r="I544" s="18"/>
      <c r="J544" s="19" t="s">
        <v>86</v>
      </c>
      <c r="K544" s="156">
        <f t="shared" si="239"/>
        <v>20109919205</v>
      </c>
      <c r="L544" s="156">
        <f t="shared" si="239"/>
        <v>0</v>
      </c>
      <c r="M544" s="156">
        <f t="shared" si="239"/>
        <v>20109919205</v>
      </c>
    </row>
    <row r="545" spans="2:13" ht="15.75" customHeight="1" x14ac:dyDescent="0.25">
      <c r="B545" s="16"/>
      <c r="C545" s="16"/>
      <c r="D545" s="16"/>
      <c r="E545" s="16"/>
      <c r="F545" s="16"/>
      <c r="G545" s="16"/>
      <c r="H545" s="17" t="s">
        <v>600</v>
      </c>
      <c r="I545" s="18"/>
      <c r="J545" s="19" t="s">
        <v>88</v>
      </c>
      <c r="K545" s="156">
        <f t="shared" si="239"/>
        <v>20109919205</v>
      </c>
      <c r="L545" s="156">
        <f t="shared" si="239"/>
        <v>0</v>
      </c>
      <c r="M545" s="156">
        <f t="shared" si="239"/>
        <v>20109919205</v>
      </c>
    </row>
    <row r="546" spans="2:13" s="13" customFormat="1" ht="15" customHeight="1" x14ac:dyDescent="0.25">
      <c r="B546" s="24"/>
      <c r="C546" s="24"/>
      <c r="D546" s="24"/>
      <c r="E546" s="24"/>
      <c r="F546" s="24"/>
      <c r="G546" s="24"/>
      <c r="H546" s="17" t="s">
        <v>601</v>
      </c>
      <c r="I546" s="18"/>
      <c r="J546" s="19" t="s">
        <v>602</v>
      </c>
      <c r="K546" s="156">
        <f>+K547</f>
        <v>20109919205</v>
      </c>
      <c r="L546" s="156">
        <f t="shared" si="239"/>
        <v>0</v>
      </c>
      <c r="M546" s="156">
        <f t="shared" si="239"/>
        <v>20109919205</v>
      </c>
    </row>
    <row r="547" spans="2:13" ht="15" customHeight="1" x14ac:dyDescent="0.2">
      <c r="B547" s="16"/>
      <c r="C547" s="16"/>
      <c r="D547" s="16"/>
      <c r="E547" s="16"/>
      <c r="F547" s="16"/>
      <c r="G547" s="16"/>
      <c r="H547" s="21" t="s">
        <v>603</v>
      </c>
      <c r="I547" s="18"/>
      <c r="J547" s="22" t="s">
        <v>604</v>
      </c>
      <c r="K547" s="157">
        <f>+K548</f>
        <v>20109919205</v>
      </c>
      <c r="L547" s="157">
        <f t="shared" si="239"/>
        <v>0</v>
      </c>
      <c r="M547" s="157">
        <f t="shared" si="239"/>
        <v>20109919205</v>
      </c>
    </row>
    <row r="548" spans="2:13" s="13" customFormat="1" ht="30" customHeight="1" x14ac:dyDescent="0.25">
      <c r="B548" s="16" t="s">
        <v>1002</v>
      </c>
      <c r="C548" s="16" t="s">
        <v>1007</v>
      </c>
      <c r="D548" s="46" t="s">
        <v>1051</v>
      </c>
      <c r="E548" s="16" t="s">
        <v>1015</v>
      </c>
      <c r="F548" s="16" t="s">
        <v>1022</v>
      </c>
      <c r="G548" s="16" t="s">
        <v>1025</v>
      </c>
      <c r="H548" s="21" t="s">
        <v>605</v>
      </c>
      <c r="I548" s="18" t="str">
        <f>RIGHT(H548,4)</f>
        <v>- 42</v>
      </c>
      <c r="J548" s="22" t="s">
        <v>606</v>
      </c>
      <c r="K548" s="126">
        <f>+Tabla13[[#This Row],[PF TOTAL]]</f>
        <v>20109919205</v>
      </c>
      <c r="L548" s="23"/>
      <c r="M548" s="126">
        <f>+Tabla134[[#This Row],[PF AJUSTE 1]]+Tabla134[[#This Row],[AJUSTE 2]]</f>
        <v>20109919205</v>
      </c>
    </row>
    <row r="549" spans="2:13" s="13" customFormat="1" ht="15.75" customHeight="1" x14ac:dyDescent="0.25">
      <c r="B549" s="24"/>
      <c r="C549" s="24"/>
      <c r="D549" s="24"/>
      <c r="E549" s="24"/>
      <c r="F549" s="24"/>
      <c r="G549" s="24"/>
      <c r="H549" s="17" t="s">
        <v>607</v>
      </c>
      <c r="I549" s="18"/>
      <c r="J549" s="19" t="s">
        <v>225</v>
      </c>
      <c r="K549" s="156">
        <f t="shared" ref="K549:M550" si="240">+K550</f>
        <v>1500000000</v>
      </c>
      <c r="L549" s="156">
        <f t="shared" si="240"/>
        <v>0</v>
      </c>
      <c r="M549" s="156">
        <f t="shared" si="240"/>
        <v>1500000000</v>
      </c>
    </row>
    <row r="550" spans="2:13" ht="15.75" customHeight="1" x14ac:dyDescent="0.2">
      <c r="B550" s="16"/>
      <c r="C550" s="16"/>
      <c r="D550" s="16"/>
      <c r="E550" s="16"/>
      <c r="F550" s="16"/>
      <c r="G550" s="16"/>
      <c r="H550" s="21" t="s">
        <v>608</v>
      </c>
      <c r="I550" s="18"/>
      <c r="J550" s="22" t="s">
        <v>239</v>
      </c>
      <c r="K550" s="157">
        <f t="shared" si="240"/>
        <v>1500000000</v>
      </c>
      <c r="L550" s="157">
        <f t="shared" si="240"/>
        <v>0</v>
      </c>
      <c r="M550" s="157">
        <f t="shared" si="240"/>
        <v>1500000000</v>
      </c>
    </row>
    <row r="551" spans="2:13" ht="15.75" customHeight="1" x14ac:dyDescent="0.2">
      <c r="B551" s="16"/>
      <c r="C551" s="16"/>
      <c r="D551" s="16"/>
      <c r="E551" s="16"/>
      <c r="F551" s="16"/>
      <c r="G551" s="16"/>
      <c r="H551" s="21" t="s">
        <v>609</v>
      </c>
      <c r="I551" s="18"/>
      <c r="J551" s="22" t="s">
        <v>241</v>
      </c>
      <c r="K551" s="157">
        <f>+K552</f>
        <v>1500000000</v>
      </c>
      <c r="L551" s="157">
        <f>+L552</f>
        <v>0</v>
      </c>
      <c r="M551" s="157">
        <f>+M552</f>
        <v>1500000000</v>
      </c>
    </row>
    <row r="552" spans="2:13" s="13" customFormat="1" ht="15.75" customHeight="1" x14ac:dyDescent="0.25">
      <c r="B552" s="16" t="s">
        <v>1002</v>
      </c>
      <c r="C552" s="16" t="s">
        <v>1007</v>
      </c>
      <c r="D552" s="46" t="s">
        <v>1051</v>
      </c>
      <c r="E552" s="16" t="s">
        <v>1015</v>
      </c>
      <c r="F552" s="16" t="s">
        <v>1023</v>
      </c>
      <c r="G552" s="16" t="s">
        <v>1028</v>
      </c>
      <c r="H552" s="21" t="s">
        <v>610</v>
      </c>
      <c r="I552" s="18" t="str">
        <f>RIGHT(H552,4)</f>
        <v xml:space="preserve"> 42F</v>
      </c>
      <c r="J552" s="22" t="s">
        <v>241</v>
      </c>
      <c r="K552" s="126">
        <f>+Tabla13[[#This Row],[PF TOTAL]]</f>
        <v>1500000000</v>
      </c>
      <c r="L552" s="23">
        <v>0</v>
      </c>
      <c r="M552" s="126">
        <f>+Tabla134[[#This Row],[PF AJUSTE 1]]+Tabla134[[#This Row],[AJUSTE 2]]</f>
        <v>1500000000</v>
      </c>
    </row>
    <row r="553" spans="2:13" s="13" customFormat="1" ht="15.75" customHeight="1" x14ac:dyDescent="0.25">
      <c r="B553" s="24"/>
      <c r="C553" s="24"/>
      <c r="D553" s="24"/>
      <c r="E553" s="24"/>
      <c r="F553" s="24"/>
      <c r="G553" s="24"/>
      <c r="H553" s="17" t="s">
        <v>611</v>
      </c>
      <c r="I553" s="18"/>
      <c r="J553" s="19" t="s">
        <v>267</v>
      </c>
      <c r="K553" s="156">
        <v>0</v>
      </c>
      <c r="L553" s="156">
        <v>0</v>
      </c>
      <c r="M553" s="156">
        <v>0</v>
      </c>
    </row>
    <row r="554" spans="2:13" ht="15.75" customHeight="1" x14ac:dyDescent="0.25">
      <c r="B554" s="16"/>
      <c r="C554" s="16"/>
      <c r="D554" s="16"/>
      <c r="E554" s="16"/>
      <c r="F554" s="16"/>
      <c r="G554" s="16"/>
      <c r="H554" s="17" t="s">
        <v>612</v>
      </c>
      <c r="I554" s="18"/>
      <c r="J554" s="19" t="s">
        <v>271</v>
      </c>
      <c r="K554" s="156">
        <v>0</v>
      </c>
      <c r="L554" s="156">
        <v>0</v>
      </c>
      <c r="M554" s="156">
        <v>0</v>
      </c>
    </row>
    <row r="555" spans="2:13" ht="15" customHeight="1" x14ac:dyDescent="0.2">
      <c r="B555" s="16" t="s">
        <v>1002</v>
      </c>
      <c r="C555" s="16" t="s">
        <v>1007</v>
      </c>
      <c r="D555" s="46" t="s">
        <v>1051</v>
      </c>
      <c r="E555" s="16" t="s">
        <v>1015</v>
      </c>
      <c r="F555" s="16" t="s">
        <v>1023</v>
      </c>
      <c r="G555" s="16" t="s">
        <v>1030</v>
      </c>
      <c r="H555" s="21" t="s">
        <v>613</v>
      </c>
      <c r="I555" s="18" t="str">
        <f>RIGHT(H555,4)</f>
        <v>42RB</v>
      </c>
      <c r="J555" s="22" t="s">
        <v>271</v>
      </c>
      <c r="K555" s="23">
        <v>0</v>
      </c>
      <c r="L555" s="23"/>
      <c r="M555" s="126">
        <f>+Tabla134[[#This Row],[PF AJUSTE 1]]+Tabla134[[#This Row],[AJUSTE 2]]</f>
        <v>0</v>
      </c>
    </row>
    <row r="556" spans="2:13" ht="16.5" customHeight="1" x14ac:dyDescent="0.25">
      <c r="B556" s="16"/>
      <c r="C556" s="16"/>
      <c r="D556" s="16"/>
      <c r="E556" s="16"/>
      <c r="F556" s="16"/>
      <c r="G556" s="16"/>
      <c r="H556" s="25" t="s">
        <v>798</v>
      </c>
      <c r="I556" s="186"/>
      <c r="J556" s="25"/>
      <c r="K556" s="153">
        <f>+K542</f>
        <v>21609919205</v>
      </c>
      <c r="L556" s="153">
        <f t="shared" ref="L556:M556" si="241">+L542</f>
        <v>0</v>
      </c>
      <c r="M556" s="153">
        <f t="shared" si="241"/>
        <v>21609919205</v>
      </c>
    </row>
    <row r="557" spans="2:13" ht="15" customHeight="1" x14ac:dyDescent="0.2">
      <c r="B557" s="16"/>
      <c r="C557" s="16"/>
      <c r="D557" s="16"/>
      <c r="E557" s="16"/>
      <c r="F557" s="16"/>
      <c r="G557" s="16"/>
      <c r="H557" s="45"/>
      <c r="I557" s="46"/>
      <c r="J557" s="22"/>
      <c r="K557" s="157"/>
      <c r="L557" s="157"/>
      <c r="M557" s="157"/>
    </row>
    <row r="558" spans="2:13" ht="15.75" customHeight="1" x14ac:dyDescent="0.2">
      <c r="B558" s="16"/>
      <c r="C558" s="16"/>
      <c r="D558" s="16"/>
      <c r="E558" s="16"/>
      <c r="F558" s="16"/>
      <c r="G558" s="16"/>
      <c r="H558" s="28" t="s">
        <v>799</v>
      </c>
      <c r="I558" s="29"/>
      <c r="J558" s="30"/>
      <c r="K558" s="158"/>
      <c r="L558" s="158"/>
      <c r="M558" s="158"/>
    </row>
    <row r="559" spans="2:13" ht="16.5" customHeight="1" x14ac:dyDescent="0.2">
      <c r="B559" s="16"/>
      <c r="C559" s="16"/>
      <c r="D559" s="16"/>
      <c r="E559" s="16"/>
      <c r="F559" s="16"/>
      <c r="G559" s="16"/>
      <c r="H559" s="31" t="s">
        <v>779</v>
      </c>
      <c r="I559" s="29"/>
      <c r="J559" s="47" t="s">
        <v>1054</v>
      </c>
      <c r="K559" s="155"/>
      <c r="L559" s="155"/>
      <c r="M559" s="155"/>
    </row>
    <row r="560" spans="2:13" s="13" customFormat="1" ht="15.75" customHeight="1" x14ac:dyDescent="0.25">
      <c r="B560" s="24"/>
      <c r="C560" s="24"/>
      <c r="D560" s="24"/>
      <c r="E560" s="24"/>
      <c r="F560" s="24"/>
      <c r="G560" s="24"/>
      <c r="H560" s="17" t="s">
        <v>614</v>
      </c>
      <c r="I560" s="18"/>
      <c r="J560" s="19" t="s">
        <v>1</v>
      </c>
      <c r="K560" s="156">
        <f>+K561+K570</f>
        <v>1461361887</v>
      </c>
      <c r="L560" s="156">
        <f t="shared" ref="L560:M560" si="242">+L561+L570</f>
        <v>0</v>
      </c>
      <c r="M560" s="156">
        <f t="shared" si="242"/>
        <v>1461361887</v>
      </c>
    </row>
    <row r="561" spans="2:13" s="13" customFormat="1" ht="15.75" customHeight="1" x14ac:dyDescent="0.25">
      <c r="B561" s="24"/>
      <c r="C561" s="24"/>
      <c r="D561" s="24"/>
      <c r="E561" s="24"/>
      <c r="F561" s="24"/>
      <c r="G561" s="24"/>
      <c r="H561" s="17" t="s">
        <v>615</v>
      </c>
      <c r="I561" s="18"/>
      <c r="J561" s="19" t="s">
        <v>3</v>
      </c>
      <c r="K561" s="157">
        <f t="shared" ref="K561:M568" si="243">+K562</f>
        <v>0</v>
      </c>
      <c r="L561" s="157">
        <f t="shared" si="243"/>
        <v>0</v>
      </c>
      <c r="M561" s="157">
        <f t="shared" si="243"/>
        <v>0</v>
      </c>
    </row>
    <row r="562" spans="2:13" s="13" customFormat="1" ht="15.75" customHeight="1" x14ac:dyDescent="0.25">
      <c r="B562" s="24"/>
      <c r="C562" s="24"/>
      <c r="D562" s="24"/>
      <c r="E562" s="24"/>
      <c r="F562" s="24"/>
      <c r="G562" s="24"/>
      <c r="H562" s="17" t="s">
        <v>616</v>
      </c>
      <c r="I562" s="18"/>
      <c r="J562" s="19" t="s">
        <v>86</v>
      </c>
      <c r="K562" s="157">
        <f t="shared" si="243"/>
        <v>0</v>
      </c>
      <c r="L562" s="157">
        <f t="shared" si="243"/>
        <v>0</v>
      </c>
      <c r="M562" s="157">
        <f t="shared" si="243"/>
        <v>0</v>
      </c>
    </row>
    <row r="563" spans="2:13" ht="15.75" customHeight="1" x14ac:dyDescent="0.2">
      <c r="B563" s="16"/>
      <c r="C563" s="16"/>
      <c r="D563" s="16"/>
      <c r="E563" s="16"/>
      <c r="F563" s="16"/>
      <c r="G563" s="16"/>
      <c r="H563" s="17" t="s">
        <v>617</v>
      </c>
      <c r="I563" s="18"/>
      <c r="J563" s="19" t="s">
        <v>112</v>
      </c>
      <c r="K563" s="157">
        <f t="shared" si="243"/>
        <v>0</v>
      </c>
      <c r="L563" s="157">
        <f t="shared" si="243"/>
        <v>0</v>
      </c>
      <c r="M563" s="157">
        <f t="shared" si="243"/>
        <v>0</v>
      </c>
    </row>
    <row r="564" spans="2:13" ht="15" customHeight="1" x14ac:dyDescent="0.2">
      <c r="B564" s="16"/>
      <c r="C564" s="16"/>
      <c r="D564" s="16"/>
      <c r="E564" s="16"/>
      <c r="F564" s="16"/>
      <c r="G564" s="16"/>
      <c r="H564" s="21" t="s">
        <v>618</v>
      </c>
      <c r="I564" s="18"/>
      <c r="J564" s="22" t="s">
        <v>114</v>
      </c>
      <c r="K564" s="157">
        <f t="shared" si="243"/>
        <v>0</v>
      </c>
      <c r="L564" s="157">
        <f t="shared" si="243"/>
        <v>0</v>
      </c>
      <c r="M564" s="157">
        <f t="shared" si="243"/>
        <v>0</v>
      </c>
    </row>
    <row r="565" spans="2:13" ht="15" customHeight="1" x14ac:dyDescent="0.2">
      <c r="B565" s="16"/>
      <c r="C565" s="16"/>
      <c r="D565" s="16"/>
      <c r="E565" s="16"/>
      <c r="F565" s="16"/>
      <c r="G565" s="16"/>
      <c r="H565" s="21" t="s">
        <v>619</v>
      </c>
      <c r="I565" s="18"/>
      <c r="J565" s="22" t="s">
        <v>144</v>
      </c>
      <c r="K565" s="157">
        <f t="shared" si="243"/>
        <v>0</v>
      </c>
      <c r="L565" s="157">
        <f t="shared" si="243"/>
        <v>0</v>
      </c>
      <c r="M565" s="157">
        <f t="shared" si="243"/>
        <v>0</v>
      </c>
    </row>
    <row r="566" spans="2:13" ht="15" customHeight="1" x14ac:dyDescent="0.2">
      <c r="B566" s="16"/>
      <c r="C566" s="16"/>
      <c r="D566" s="16"/>
      <c r="E566" s="16"/>
      <c r="F566" s="16"/>
      <c r="G566" s="16"/>
      <c r="H566" s="21" t="s">
        <v>620</v>
      </c>
      <c r="I566" s="18"/>
      <c r="J566" s="22" t="s">
        <v>621</v>
      </c>
      <c r="K566" s="157">
        <f t="shared" si="243"/>
        <v>0</v>
      </c>
      <c r="L566" s="157">
        <f t="shared" si="243"/>
        <v>0</v>
      </c>
      <c r="M566" s="157">
        <f t="shared" si="243"/>
        <v>0</v>
      </c>
    </row>
    <row r="567" spans="2:13" ht="15" customHeight="1" x14ac:dyDescent="0.2">
      <c r="B567" s="16"/>
      <c r="C567" s="16"/>
      <c r="D567" s="16"/>
      <c r="E567" s="16"/>
      <c r="F567" s="16"/>
      <c r="G567" s="16"/>
      <c r="H567" s="21" t="s">
        <v>622</v>
      </c>
      <c r="I567" s="18"/>
      <c r="J567" s="22" t="s">
        <v>623</v>
      </c>
      <c r="K567" s="157">
        <f t="shared" si="243"/>
        <v>0</v>
      </c>
      <c r="L567" s="157">
        <f t="shared" si="243"/>
        <v>0</v>
      </c>
      <c r="M567" s="157">
        <f t="shared" si="243"/>
        <v>0</v>
      </c>
    </row>
    <row r="568" spans="2:13" ht="15" customHeight="1" x14ac:dyDescent="0.2">
      <c r="B568" s="16"/>
      <c r="C568" s="16"/>
      <c r="D568" s="16"/>
      <c r="E568" s="16"/>
      <c r="F568" s="16"/>
      <c r="G568" s="16"/>
      <c r="H568" s="21" t="s">
        <v>624</v>
      </c>
      <c r="I568" s="18"/>
      <c r="J568" s="22" t="s">
        <v>625</v>
      </c>
      <c r="K568" s="157">
        <f>+K569</f>
        <v>0</v>
      </c>
      <c r="L568" s="157">
        <f t="shared" si="243"/>
        <v>0</v>
      </c>
      <c r="M568" s="157">
        <f t="shared" si="243"/>
        <v>0</v>
      </c>
    </row>
    <row r="569" spans="2:13" s="13" customFormat="1" ht="15.75" customHeight="1" x14ac:dyDescent="0.25">
      <c r="B569" s="16" t="s">
        <v>1002</v>
      </c>
      <c r="C569" s="16" t="s">
        <v>1044</v>
      </c>
      <c r="D569" s="46" t="s">
        <v>1051</v>
      </c>
      <c r="E569" s="16" t="s">
        <v>1015</v>
      </c>
      <c r="F569" s="16" t="s">
        <v>1022</v>
      </c>
      <c r="G569" s="16" t="s">
        <v>1025</v>
      </c>
      <c r="H569" s="21" t="s">
        <v>626</v>
      </c>
      <c r="I569" s="18" t="str">
        <f>RIGHT(H569,4)</f>
        <v xml:space="preserve"> 151</v>
      </c>
      <c r="J569" s="22" t="s">
        <v>627</v>
      </c>
      <c r="K569" s="126">
        <f>+Tabla13[[#This Row],[PF TOTAL]]</f>
        <v>0</v>
      </c>
      <c r="L569" s="23"/>
      <c r="M569" s="126">
        <f>+Tabla134[[#This Row],[PF AJUSTE 1]]+Tabla134[[#This Row],[AJUSTE 2]]</f>
        <v>0</v>
      </c>
    </row>
    <row r="570" spans="2:13" s="13" customFormat="1" ht="15.75" customHeight="1" x14ac:dyDescent="0.25">
      <c r="B570" s="24"/>
      <c r="C570" s="24"/>
      <c r="D570" s="24"/>
      <c r="E570" s="24"/>
      <c r="F570" s="24"/>
      <c r="G570" s="24"/>
      <c r="H570" s="17" t="s">
        <v>628</v>
      </c>
      <c r="I570" s="18"/>
      <c r="J570" s="19" t="s">
        <v>225</v>
      </c>
      <c r="K570" s="156">
        <f>+K571+K576+K579</f>
        <v>1461361887</v>
      </c>
      <c r="L570" s="156">
        <f t="shared" ref="L570:M570" si="244">+L571+L576+L579</f>
        <v>0</v>
      </c>
      <c r="M570" s="156">
        <f t="shared" si="244"/>
        <v>1461361887</v>
      </c>
    </row>
    <row r="571" spans="2:13" s="13" customFormat="1" ht="15.75" customHeight="1" x14ac:dyDescent="0.25">
      <c r="B571" s="24"/>
      <c r="C571" s="24"/>
      <c r="D571" s="24"/>
      <c r="E571" s="24"/>
      <c r="F571" s="24"/>
      <c r="G571" s="24"/>
      <c r="H571" s="17" t="s">
        <v>629</v>
      </c>
      <c r="I571" s="18"/>
      <c r="J571" s="19" t="s">
        <v>239</v>
      </c>
      <c r="K571" s="156">
        <f>+K572</f>
        <v>116908951</v>
      </c>
      <c r="L571" s="156">
        <f t="shared" ref="L571:M572" si="245">+L572</f>
        <v>0</v>
      </c>
      <c r="M571" s="156">
        <f t="shared" si="245"/>
        <v>116908951</v>
      </c>
    </row>
    <row r="572" spans="2:13" ht="15.75" customHeight="1" x14ac:dyDescent="0.25">
      <c r="B572" s="16"/>
      <c r="C572" s="16"/>
      <c r="D572" s="16"/>
      <c r="E572" s="16"/>
      <c r="F572" s="16"/>
      <c r="G572" s="16"/>
      <c r="H572" s="17" t="s">
        <v>630</v>
      </c>
      <c r="I572" s="18"/>
      <c r="J572" s="19" t="s">
        <v>241</v>
      </c>
      <c r="K572" s="156">
        <f>+K573</f>
        <v>116908951</v>
      </c>
      <c r="L572" s="156">
        <f>+L573</f>
        <v>0</v>
      </c>
      <c r="M572" s="156">
        <f t="shared" si="245"/>
        <v>116908951</v>
      </c>
    </row>
    <row r="573" spans="2:13" s="13" customFormat="1" ht="15.75" customHeight="1" x14ac:dyDescent="0.25">
      <c r="B573" s="16" t="s">
        <v>1002</v>
      </c>
      <c r="C573" s="16" t="s">
        <v>1044</v>
      </c>
      <c r="D573" s="46" t="s">
        <v>1051</v>
      </c>
      <c r="E573" s="16" t="s">
        <v>1015</v>
      </c>
      <c r="F573" s="16" t="s">
        <v>1023</v>
      </c>
      <c r="G573" s="16" t="s">
        <v>1028</v>
      </c>
      <c r="H573" s="21" t="s">
        <v>631</v>
      </c>
      <c r="I573" s="18" t="str">
        <f>RIGHT(H573,4)</f>
        <v>151F</v>
      </c>
      <c r="J573" s="22" t="s">
        <v>241</v>
      </c>
      <c r="K573" s="126">
        <f>+Tabla13[[#This Row],[PF TOTAL]]</f>
        <v>116908951</v>
      </c>
      <c r="L573" s="23">
        <f>+L574</f>
        <v>0</v>
      </c>
      <c r="M573" s="126">
        <f>+Tabla134[[#This Row],[PF AJUSTE 1]]+Tabla134[[#This Row],[AJUSTE 2]]</f>
        <v>116908951</v>
      </c>
    </row>
    <row r="574" spans="2:13" ht="15.75" customHeight="1" x14ac:dyDescent="0.25">
      <c r="B574" s="16"/>
      <c r="C574" s="16"/>
      <c r="D574" s="16"/>
      <c r="E574" s="16"/>
      <c r="F574" s="16"/>
      <c r="G574" s="16"/>
      <c r="H574" s="17" t="s">
        <v>632</v>
      </c>
      <c r="I574" s="18"/>
      <c r="J574" s="19" t="s">
        <v>633</v>
      </c>
      <c r="K574" s="156">
        <f>+K575</f>
        <v>116908951</v>
      </c>
      <c r="L574" s="156">
        <f>+L575</f>
        <v>0</v>
      </c>
      <c r="M574" s="156">
        <f t="shared" ref="M574" si="246">+M575</f>
        <v>116908951</v>
      </c>
    </row>
    <row r="575" spans="2:13" s="13" customFormat="1" ht="15.75" customHeight="1" x14ac:dyDescent="0.25">
      <c r="B575" s="16" t="s">
        <v>1002</v>
      </c>
      <c r="C575" s="16" t="s">
        <v>1044</v>
      </c>
      <c r="D575" s="46" t="s">
        <v>1051</v>
      </c>
      <c r="E575" s="16" t="s">
        <v>1015</v>
      </c>
      <c r="F575" s="16" t="s">
        <v>1023</v>
      </c>
      <c r="G575" s="16" t="s">
        <v>1034</v>
      </c>
      <c r="H575" s="21" t="s">
        <v>634</v>
      </c>
      <c r="I575" s="18" t="str">
        <f>RIGHT(H575,4)</f>
        <v xml:space="preserve"> 151</v>
      </c>
      <c r="J575" s="22" t="s">
        <v>633</v>
      </c>
      <c r="K575" s="126">
        <f>+Tabla13[[#This Row],[PF TOTAL]]</f>
        <v>116908951</v>
      </c>
      <c r="L575" s="23"/>
      <c r="M575" s="126">
        <f>+Tabla134[[#This Row],[PF AJUSTE 1]]+Tabla134[[#This Row],[AJUSTE 2]]</f>
        <v>116908951</v>
      </c>
    </row>
    <row r="576" spans="2:13" s="13" customFormat="1" ht="15.75" customHeight="1" x14ac:dyDescent="0.25">
      <c r="B576" s="24"/>
      <c r="C576" s="24"/>
      <c r="D576" s="24"/>
      <c r="E576" s="24"/>
      <c r="F576" s="24"/>
      <c r="G576" s="24"/>
      <c r="H576" s="17" t="s">
        <v>635</v>
      </c>
      <c r="I576" s="18"/>
      <c r="J576" s="19" t="s">
        <v>636</v>
      </c>
      <c r="K576" s="156">
        <f>+K577</f>
        <v>1344452936</v>
      </c>
      <c r="L576" s="156">
        <f t="shared" ref="L576:M577" si="247">+L577</f>
        <v>0</v>
      </c>
      <c r="M576" s="156">
        <f t="shared" si="247"/>
        <v>1344452936</v>
      </c>
    </row>
    <row r="577" spans="2:13" ht="15.75" customHeight="1" x14ac:dyDescent="0.25">
      <c r="B577" s="16"/>
      <c r="C577" s="16"/>
      <c r="D577" s="16"/>
      <c r="E577" s="16"/>
      <c r="F577" s="16"/>
      <c r="G577" s="16"/>
      <c r="H577" s="17" t="s">
        <v>637</v>
      </c>
      <c r="I577" s="18"/>
      <c r="J577" s="19" t="s">
        <v>638</v>
      </c>
      <c r="K577" s="156">
        <f>+K578</f>
        <v>1344452936</v>
      </c>
      <c r="L577" s="156">
        <f t="shared" si="247"/>
        <v>0</v>
      </c>
      <c r="M577" s="156">
        <f t="shared" si="247"/>
        <v>1344452936</v>
      </c>
    </row>
    <row r="578" spans="2:13" s="13" customFormat="1" ht="15.75" customHeight="1" x14ac:dyDescent="0.25">
      <c r="B578" s="16" t="s">
        <v>1002</v>
      </c>
      <c r="C578" s="16" t="s">
        <v>1044</v>
      </c>
      <c r="D578" s="46" t="s">
        <v>1051</v>
      </c>
      <c r="E578" s="16" t="s">
        <v>1015</v>
      </c>
      <c r="F578" s="16" t="s">
        <v>1023</v>
      </c>
      <c r="G578" s="16" t="s">
        <v>1034</v>
      </c>
      <c r="H578" s="21" t="s">
        <v>639</v>
      </c>
      <c r="I578" s="18" t="str">
        <f>RIGHT(H578,4)</f>
        <v xml:space="preserve"> 151</v>
      </c>
      <c r="J578" s="22" t="s">
        <v>638</v>
      </c>
      <c r="K578" s="126">
        <f>+Tabla13[[#This Row],[PF TOTAL]]</f>
        <v>1344452936</v>
      </c>
      <c r="L578" s="23"/>
      <c r="M578" s="126">
        <f>+Tabla134[[#This Row],[PF AJUSTE 1]]+Tabla134[[#This Row],[AJUSTE 2]]</f>
        <v>1344452936</v>
      </c>
    </row>
    <row r="579" spans="2:13" s="13" customFormat="1" ht="15.75" customHeight="1" x14ac:dyDescent="0.25">
      <c r="B579" s="24"/>
      <c r="C579" s="24"/>
      <c r="D579" s="24"/>
      <c r="E579" s="24"/>
      <c r="F579" s="24"/>
      <c r="G579" s="24"/>
      <c r="H579" s="17" t="s">
        <v>640</v>
      </c>
      <c r="I579" s="18"/>
      <c r="J579" s="19" t="s">
        <v>267</v>
      </c>
      <c r="K579" s="156">
        <f>+K580</f>
        <v>0</v>
      </c>
      <c r="L579" s="156">
        <f t="shared" ref="L579:M580" si="248">+L580</f>
        <v>0</v>
      </c>
      <c r="M579" s="156">
        <f t="shared" si="248"/>
        <v>0</v>
      </c>
    </row>
    <row r="580" spans="2:13" ht="15.75" customHeight="1" x14ac:dyDescent="0.25">
      <c r="B580" s="16"/>
      <c r="C580" s="16"/>
      <c r="D580" s="16"/>
      <c r="E580" s="16"/>
      <c r="F580" s="16"/>
      <c r="G580" s="16"/>
      <c r="H580" s="17" t="s">
        <v>641</v>
      </c>
      <c r="I580" s="18"/>
      <c r="J580" s="19" t="s">
        <v>271</v>
      </c>
      <c r="K580" s="156">
        <f>+K581</f>
        <v>0</v>
      </c>
      <c r="L580" s="156">
        <f t="shared" si="248"/>
        <v>0</v>
      </c>
      <c r="M580" s="156">
        <f t="shared" si="248"/>
        <v>0</v>
      </c>
    </row>
    <row r="581" spans="2:13" ht="15" customHeight="1" x14ac:dyDescent="0.2">
      <c r="B581" s="16" t="s">
        <v>1002</v>
      </c>
      <c r="C581" s="16" t="s">
        <v>1044</v>
      </c>
      <c r="D581" s="46" t="s">
        <v>1051</v>
      </c>
      <c r="E581" s="16" t="s">
        <v>1015</v>
      </c>
      <c r="F581" s="16" t="s">
        <v>1023</v>
      </c>
      <c r="G581" s="16" t="s">
        <v>1030</v>
      </c>
      <c r="H581" s="21" t="s">
        <v>642</v>
      </c>
      <c r="I581" s="18" t="str">
        <f>RIGHT(H581,4)</f>
        <v>151R</v>
      </c>
      <c r="J581" s="22" t="s">
        <v>271</v>
      </c>
      <c r="K581" s="23">
        <v>0</v>
      </c>
      <c r="L581" s="23"/>
      <c r="M581" s="126">
        <f>+Tabla134[[#This Row],[PF AJUSTE 1]]+Tabla134[[#This Row],[AJUSTE 2]]</f>
        <v>0</v>
      </c>
    </row>
    <row r="582" spans="2:13" ht="16.5" customHeight="1" x14ac:dyDescent="0.25">
      <c r="B582" s="16"/>
      <c r="C582" s="16"/>
      <c r="D582" s="16"/>
      <c r="E582" s="16"/>
      <c r="F582" s="16"/>
      <c r="G582" s="16"/>
      <c r="H582" s="25" t="s">
        <v>801</v>
      </c>
      <c r="I582" s="186"/>
      <c r="J582" s="25"/>
      <c r="K582" s="153">
        <f>+K560</f>
        <v>1461361887</v>
      </c>
      <c r="L582" s="153">
        <f t="shared" ref="L582:M582" si="249">+L560</f>
        <v>0</v>
      </c>
      <c r="M582" s="153">
        <f t="shared" si="249"/>
        <v>1461361887</v>
      </c>
    </row>
    <row r="583" spans="2:13" ht="15.75" customHeight="1" x14ac:dyDescent="0.25">
      <c r="B583" s="16"/>
      <c r="C583" s="16"/>
      <c r="D583" s="16"/>
      <c r="E583" s="16"/>
      <c r="F583" s="16"/>
      <c r="G583" s="16"/>
      <c r="H583" s="45"/>
      <c r="I583" s="46"/>
      <c r="J583" s="25"/>
      <c r="K583" s="153"/>
      <c r="L583" s="153"/>
      <c r="M583" s="153"/>
    </row>
    <row r="584" spans="2:13" ht="15.75" customHeight="1" x14ac:dyDescent="0.2">
      <c r="B584" s="16"/>
      <c r="C584" s="16"/>
      <c r="D584" s="16"/>
      <c r="E584" s="16"/>
      <c r="F584" s="16"/>
      <c r="G584" s="16"/>
      <c r="H584" s="28" t="s">
        <v>802</v>
      </c>
      <c r="I584" s="29"/>
      <c r="J584" s="30"/>
      <c r="K584" s="158"/>
      <c r="L584" s="158"/>
      <c r="M584" s="158"/>
    </row>
    <row r="585" spans="2:13" ht="16.5" customHeight="1" x14ac:dyDescent="0.2">
      <c r="B585" s="16"/>
      <c r="C585" s="16"/>
      <c r="D585" s="16"/>
      <c r="E585" s="16"/>
      <c r="F585" s="16"/>
      <c r="G585" s="16"/>
      <c r="H585" s="31" t="s">
        <v>779</v>
      </c>
      <c r="I585" s="29"/>
      <c r="J585" s="47" t="s">
        <v>803</v>
      </c>
      <c r="K585" s="155"/>
      <c r="L585" s="155"/>
      <c r="M585" s="155"/>
    </row>
    <row r="586" spans="2:13" s="13" customFormat="1" ht="15.75" customHeight="1" x14ac:dyDescent="0.25">
      <c r="B586" s="24"/>
      <c r="C586" s="24"/>
      <c r="D586" s="24"/>
      <c r="E586" s="24"/>
      <c r="F586" s="24"/>
      <c r="G586" s="24"/>
      <c r="H586" s="17" t="s">
        <v>643</v>
      </c>
      <c r="I586" s="18"/>
      <c r="J586" s="19" t="s">
        <v>1</v>
      </c>
      <c r="K586" s="156">
        <f>+K587+K610</f>
        <v>75255807463</v>
      </c>
      <c r="L586" s="156">
        <f t="shared" ref="L586:M586" si="250">+L587+L610</f>
        <v>0</v>
      </c>
      <c r="M586" s="156">
        <f t="shared" si="250"/>
        <v>75255807463</v>
      </c>
    </row>
    <row r="587" spans="2:13" s="13" customFormat="1" ht="15.75" customHeight="1" x14ac:dyDescent="0.25">
      <c r="B587" s="24"/>
      <c r="C587" s="24"/>
      <c r="D587" s="24"/>
      <c r="E587" s="24"/>
      <c r="F587" s="24"/>
      <c r="G587" s="24"/>
      <c r="H587" s="17" t="s">
        <v>644</v>
      </c>
      <c r="I587" s="18"/>
      <c r="J587" s="19" t="s">
        <v>3</v>
      </c>
      <c r="K587" s="156">
        <f>+K588+K604</f>
        <v>37755807463</v>
      </c>
      <c r="L587" s="156">
        <f t="shared" ref="L587:M587" si="251">+L588+L604</f>
        <v>0</v>
      </c>
      <c r="M587" s="156">
        <f t="shared" si="251"/>
        <v>37755807463</v>
      </c>
    </row>
    <row r="588" spans="2:13" s="13" customFormat="1" ht="15.75" customHeight="1" x14ac:dyDescent="0.25">
      <c r="B588" s="24"/>
      <c r="C588" s="24"/>
      <c r="D588" s="24"/>
      <c r="E588" s="24"/>
      <c r="F588" s="24"/>
      <c r="G588" s="24"/>
      <c r="H588" s="17" t="s">
        <v>645</v>
      </c>
      <c r="I588" s="18"/>
      <c r="J588" s="19" t="s">
        <v>5</v>
      </c>
      <c r="K588" s="156">
        <f>+K589</f>
        <v>36555807463</v>
      </c>
      <c r="L588" s="156">
        <f t="shared" ref="L588:M588" si="252">+L589</f>
        <v>0</v>
      </c>
      <c r="M588" s="156">
        <f t="shared" si="252"/>
        <v>36555807463</v>
      </c>
    </row>
    <row r="589" spans="2:13" ht="15.75" customHeight="1" x14ac:dyDescent="0.25">
      <c r="B589" s="16"/>
      <c r="C589" s="16"/>
      <c r="D589" s="16"/>
      <c r="E589" s="16"/>
      <c r="F589" s="16"/>
      <c r="G589" s="16"/>
      <c r="H589" s="17" t="s">
        <v>646</v>
      </c>
      <c r="I589" s="18"/>
      <c r="J589" s="19" t="s">
        <v>14</v>
      </c>
      <c r="K589" s="156">
        <f>+K590+K595</f>
        <v>36555807463</v>
      </c>
      <c r="L589" s="156">
        <f t="shared" ref="L589:M589" si="253">+L590+L595</f>
        <v>0</v>
      </c>
      <c r="M589" s="156">
        <f t="shared" si="253"/>
        <v>36555807463</v>
      </c>
    </row>
    <row r="590" spans="2:13" s="13" customFormat="1" ht="15.75" customHeight="1" x14ac:dyDescent="0.25">
      <c r="B590" s="24"/>
      <c r="C590" s="24"/>
      <c r="D590" s="24"/>
      <c r="E590" s="24"/>
      <c r="F590" s="24"/>
      <c r="G590" s="24"/>
      <c r="H590" s="17" t="s">
        <v>647</v>
      </c>
      <c r="I590" s="18"/>
      <c r="J590" s="19" t="s">
        <v>16</v>
      </c>
      <c r="K590" s="156">
        <f>+K591+K593</f>
        <v>3507192772</v>
      </c>
      <c r="L590" s="156">
        <f t="shared" ref="L590:M590" si="254">+L591+L593</f>
        <v>0</v>
      </c>
      <c r="M590" s="156">
        <f t="shared" si="254"/>
        <v>3507192772</v>
      </c>
    </row>
    <row r="591" spans="2:13" s="13" customFormat="1" ht="15.75" customHeight="1" x14ac:dyDescent="0.25">
      <c r="B591" s="24"/>
      <c r="C591" s="24"/>
      <c r="D591" s="24"/>
      <c r="E591" s="24"/>
      <c r="F591" s="24"/>
      <c r="G591" s="24"/>
      <c r="H591" s="17" t="s">
        <v>648</v>
      </c>
      <c r="I591" s="18"/>
      <c r="J591" s="19" t="s">
        <v>18</v>
      </c>
      <c r="K591" s="156">
        <f>+K592</f>
        <v>175359638</v>
      </c>
      <c r="L591" s="156">
        <f t="shared" ref="L591:M591" si="255">+L592</f>
        <v>0</v>
      </c>
      <c r="M591" s="156">
        <f t="shared" si="255"/>
        <v>175359638</v>
      </c>
    </row>
    <row r="592" spans="2:13" ht="15.75" customHeight="1" x14ac:dyDescent="0.2">
      <c r="B592" s="16" t="s">
        <v>1002</v>
      </c>
      <c r="C592" s="16" t="s">
        <v>1008</v>
      </c>
      <c r="D592" s="46" t="s">
        <v>1051</v>
      </c>
      <c r="E592" s="16" t="s">
        <v>1015</v>
      </c>
      <c r="F592" s="16" t="s">
        <v>1022</v>
      </c>
      <c r="G592" s="16" t="s">
        <v>1024</v>
      </c>
      <c r="H592" s="21" t="s">
        <v>649</v>
      </c>
      <c r="I592" s="18" t="str">
        <f t="shared" ref="I592:I603" si="256">RIGHT(H592,4)</f>
        <v>- 09</v>
      </c>
      <c r="J592" s="22" t="s">
        <v>18</v>
      </c>
      <c r="K592" s="126">
        <f>+Tabla13[[#This Row],[PF TOTAL]]</f>
        <v>175359638</v>
      </c>
      <c r="L592" s="23"/>
      <c r="M592" s="126">
        <f>+Tabla134[[#This Row],[PF AJUSTE 1]]+Tabla134[[#This Row],[AJUSTE 2]]</f>
        <v>175359638</v>
      </c>
    </row>
    <row r="593" spans="2:13" s="13" customFormat="1" ht="15.75" customHeight="1" x14ac:dyDescent="0.25">
      <c r="B593" s="24"/>
      <c r="C593" s="24"/>
      <c r="D593" s="24"/>
      <c r="E593" s="24"/>
      <c r="F593" s="24"/>
      <c r="G593" s="24"/>
      <c r="H593" s="17" t="s">
        <v>650</v>
      </c>
      <c r="I593" s="18"/>
      <c r="J593" s="19" t="s">
        <v>22</v>
      </c>
      <c r="K593" s="156">
        <f>+K594</f>
        <v>3331833134</v>
      </c>
      <c r="L593" s="156">
        <f t="shared" ref="L593:M593" si="257">+L594</f>
        <v>0</v>
      </c>
      <c r="M593" s="156">
        <f t="shared" si="257"/>
        <v>3331833134</v>
      </c>
    </row>
    <row r="594" spans="2:13" ht="15.75" customHeight="1" x14ac:dyDescent="0.2">
      <c r="B594" s="16" t="s">
        <v>1002</v>
      </c>
      <c r="C594" s="16" t="s">
        <v>1008</v>
      </c>
      <c r="D594" s="46" t="s">
        <v>1051</v>
      </c>
      <c r="E594" s="16" t="s">
        <v>1015</v>
      </c>
      <c r="F594" s="16" t="s">
        <v>1022</v>
      </c>
      <c r="G594" s="16" t="s">
        <v>1024</v>
      </c>
      <c r="H594" s="21" t="s">
        <v>651</v>
      </c>
      <c r="I594" s="18" t="str">
        <f t="shared" si="256"/>
        <v>- 09</v>
      </c>
      <c r="J594" s="22" t="s">
        <v>22</v>
      </c>
      <c r="K594" s="126">
        <f>+Tabla13[[#This Row],[PF TOTAL]]</f>
        <v>3331833134</v>
      </c>
      <c r="L594" s="23"/>
      <c r="M594" s="126">
        <f>+Tabla134[[#This Row],[PF AJUSTE 1]]+Tabla134[[#This Row],[AJUSTE 2]]</f>
        <v>3331833134</v>
      </c>
    </row>
    <row r="595" spans="2:13" s="13" customFormat="1" ht="15.75" customHeight="1" x14ac:dyDescent="0.25">
      <c r="B595" s="24"/>
      <c r="C595" s="24"/>
      <c r="D595" s="24"/>
      <c r="E595" s="24"/>
      <c r="F595" s="24"/>
      <c r="G595" s="24"/>
      <c r="H595" s="17" t="s">
        <v>652</v>
      </c>
      <c r="I595" s="18"/>
      <c r="J595" s="19" t="s">
        <v>72</v>
      </c>
      <c r="K595" s="156">
        <f>SUM(K596:K603)</f>
        <v>33048614691</v>
      </c>
      <c r="L595" s="156">
        <f t="shared" ref="L595:M595" si="258">SUM(L596:L603)</f>
        <v>0</v>
      </c>
      <c r="M595" s="156">
        <f t="shared" si="258"/>
        <v>33048614691</v>
      </c>
    </row>
    <row r="596" spans="2:13" ht="15" customHeight="1" x14ac:dyDescent="0.2">
      <c r="B596" s="16" t="s">
        <v>1002</v>
      </c>
      <c r="C596" s="16" t="s">
        <v>1008</v>
      </c>
      <c r="D596" s="46" t="s">
        <v>1051</v>
      </c>
      <c r="E596" s="16" t="s">
        <v>1015</v>
      </c>
      <c r="F596" s="16" t="s">
        <v>1022</v>
      </c>
      <c r="G596" s="16" t="s">
        <v>1024</v>
      </c>
      <c r="H596" s="21" t="s">
        <v>654</v>
      </c>
      <c r="I596" s="18" t="str">
        <f t="shared" si="256"/>
        <v>- 04</v>
      </c>
      <c r="J596" s="22" t="s">
        <v>76</v>
      </c>
      <c r="K596" s="126">
        <f>+Tabla13[[#This Row],[PF TOTAL]]</f>
        <v>4284386118</v>
      </c>
      <c r="L596" s="23"/>
      <c r="M596" s="126">
        <f>+Tabla134[[#This Row],[PF AJUSTE 1]]+Tabla134[[#This Row],[AJUSTE 2]]</f>
        <v>4284386118</v>
      </c>
    </row>
    <row r="597" spans="2:13" ht="15.75" customHeight="1" x14ac:dyDescent="0.2">
      <c r="B597" s="16" t="s">
        <v>1002</v>
      </c>
      <c r="C597" s="16" t="s">
        <v>1008</v>
      </c>
      <c r="D597" s="46" t="s">
        <v>1051</v>
      </c>
      <c r="E597" s="16" t="s">
        <v>1016</v>
      </c>
      <c r="F597" s="16" t="s">
        <v>1022</v>
      </c>
      <c r="G597" s="16" t="s">
        <v>1024</v>
      </c>
      <c r="H597" s="21" t="s">
        <v>655</v>
      </c>
      <c r="I597" s="18" t="str">
        <f t="shared" si="256"/>
        <v>- 05</v>
      </c>
      <c r="J597" s="22" t="s">
        <v>78</v>
      </c>
      <c r="K597" s="126">
        <f>+Tabla13[[#This Row],[PF TOTAL]]</f>
        <v>2165041561</v>
      </c>
      <c r="L597" s="23"/>
      <c r="M597" s="126">
        <f>+Tabla134[[#This Row],[PF AJUSTE 1]]+Tabla134[[#This Row],[AJUSTE 2]]</f>
        <v>2165041561</v>
      </c>
    </row>
    <row r="598" spans="2:13" x14ac:dyDescent="0.2">
      <c r="B598" s="16" t="s">
        <v>1002</v>
      </c>
      <c r="C598" s="16" t="s">
        <v>1008</v>
      </c>
      <c r="D598" s="46" t="s">
        <v>1051</v>
      </c>
      <c r="E598" s="16" t="s">
        <v>1016</v>
      </c>
      <c r="F598" s="16" t="s">
        <v>1022</v>
      </c>
      <c r="G598" s="16" t="s">
        <v>1024</v>
      </c>
      <c r="H598" s="21" t="s">
        <v>657</v>
      </c>
      <c r="I598" s="48" t="str">
        <f t="shared" si="256"/>
        <v>- 06</v>
      </c>
      <c r="J598" s="22" t="s">
        <v>82</v>
      </c>
      <c r="K598" s="126">
        <f>+Tabla13[[#This Row],[PF TOTAL]]</f>
        <v>7714700000</v>
      </c>
      <c r="L598" s="23"/>
      <c r="M598" s="126">
        <f>+Tabla134[[#This Row],[PF AJUSTE 1]]+Tabla134[[#This Row],[AJUSTE 2]]</f>
        <v>7714700000</v>
      </c>
    </row>
    <row r="599" spans="2:13" x14ac:dyDescent="0.2">
      <c r="B599" s="16" t="s">
        <v>1002</v>
      </c>
      <c r="C599" s="16" t="s">
        <v>1008</v>
      </c>
      <c r="D599" s="46" t="s">
        <v>1051</v>
      </c>
      <c r="E599" s="16" t="s">
        <v>1016</v>
      </c>
      <c r="F599" s="16" t="s">
        <v>1022</v>
      </c>
      <c r="G599" s="16" t="s">
        <v>1024</v>
      </c>
      <c r="H599" s="21" t="s">
        <v>653</v>
      </c>
      <c r="I599" s="18" t="str">
        <f t="shared" si="256"/>
        <v>- 08</v>
      </c>
      <c r="J599" s="22" t="s">
        <v>74</v>
      </c>
      <c r="K599" s="126">
        <f>+Tabla13[[#This Row],[PF TOTAL]]</f>
        <v>3427544116</v>
      </c>
      <c r="L599" s="23"/>
      <c r="M599" s="126">
        <f>+Tabla134[[#This Row],[PF AJUSTE 1]]+Tabla134[[#This Row],[AJUSTE 2]]</f>
        <v>3427544116</v>
      </c>
    </row>
    <row r="600" spans="2:13" x14ac:dyDescent="0.2">
      <c r="B600" s="16" t="s">
        <v>1002</v>
      </c>
      <c r="C600" s="16" t="s">
        <v>1008</v>
      </c>
      <c r="D600" s="46" t="s">
        <v>1051</v>
      </c>
      <c r="E600" s="16" t="s">
        <v>1016</v>
      </c>
      <c r="F600" s="16" t="s">
        <v>1022</v>
      </c>
      <c r="G600" s="16" t="s">
        <v>1024</v>
      </c>
      <c r="H600" s="21" t="s">
        <v>658</v>
      </c>
      <c r="I600" s="18" t="str">
        <f t="shared" si="256"/>
        <v>- 12</v>
      </c>
      <c r="J600" s="22" t="s">
        <v>84</v>
      </c>
      <c r="K600" s="126">
        <f>+Tabla13[[#This Row],[PF TOTAL]]</f>
        <v>3844832137</v>
      </c>
      <c r="L600" s="23"/>
      <c r="M600" s="126">
        <f>+Tabla134[[#This Row],[PF AJUSTE 1]]+Tabla134[[#This Row],[AJUSTE 2]]</f>
        <v>3844832137</v>
      </c>
    </row>
    <row r="601" spans="2:13" x14ac:dyDescent="0.2">
      <c r="B601" s="16" t="s">
        <v>1002</v>
      </c>
      <c r="C601" s="16" t="s">
        <v>1008</v>
      </c>
      <c r="D601" s="46" t="s">
        <v>1051</v>
      </c>
      <c r="E601" s="16" t="s">
        <v>1016</v>
      </c>
      <c r="F601" s="16" t="s">
        <v>1022</v>
      </c>
      <c r="G601" s="16" t="s">
        <v>1024</v>
      </c>
      <c r="H601" s="21" t="s">
        <v>656</v>
      </c>
      <c r="I601" s="18" t="str">
        <f t="shared" si="256"/>
        <v>- 45</v>
      </c>
      <c r="J601" s="22" t="s">
        <v>80</v>
      </c>
      <c r="K601" s="126">
        <f>+Tabla13[[#This Row],[PF TOTAL]]</f>
        <v>4430582867</v>
      </c>
      <c r="L601" s="23"/>
      <c r="M601" s="126">
        <f>+Tabla134[[#This Row],[PF AJUSTE 1]]+Tabla134[[#This Row],[AJUSTE 2]]</f>
        <v>4430582867</v>
      </c>
    </row>
    <row r="602" spans="2:13" x14ac:dyDescent="0.2">
      <c r="B602" s="16" t="s">
        <v>1002</v>
      </c>
      <c r="C602" s="16" t="s">
        <v>1008</v>
      </c>
      <c r="D602" s="46" t="s">
        <v>1051</v>
      </c>
      <c r="E602" s="16" t="s">
        <v>1016</v>
      </c>
      <c r="F602" s="16" t="s">
        <v>1022</v>
      </c>
      <c r="G602" s="16" t="s">
        <v>1024</v>
      </c>
      <c r="H602" s="21" t="s">
        <v>992</v>
      </c>
      <c r="I602" s="18" t="str">
        <f t="shared" si="256"/>
        <v>- 47</v>
      </c>
      <c r="J602" s="22" t="s">
        <v>993</v>
      </c>
      <c r="K602" s="126">
        <f>+Tabla13[[#This Row],[PF TOTAL]]</f>
        <v>2039343071</v>
      </c>
      <c r="L602" s="23"/>
      <c r="M602" s="126">
        <f>+Tabla134[[#This Row],[PF AJUSTE 1]]+Tabla134[[#This Row],[AJUSTE 2]]</f>
        <v>2039343071</v>
      </c>
    </row>
    <row r="603" spans="2:13" s="13" customFormat="1" ht="28.5" x14ac:dyDescent="0.25">
      <c r="B603" s="16" t="s">
        <v>1002</v>
      </c>
      <c r="C603" s="16" t="s">
        <v>1008</v>
      </c>
      <c r="D603" s="46" t="s">
        <v>1051</v>
      </c>
      <c r="E603" s="16" t="s">
        <v>1016</v>
      </c>
      <c r="F603" s="16" t="s">
        <v>1022</v>
      </c>
      <c r="G603" s="16" t="s">
        <v>1024</v>
      </c>
      <c r="H603" s="21" t="s">
        <v>659</v>
      </c>
      <c r="I603" s="18" t="str">
        <f t="shared" si="256"/>
        <v>- 84</v>
      </c>
      <c r="J603" s="22" t="s">
        <v>790</v>
      </c>
      <c r="K603" s="126">
        <f>+Tabla13[[#This Row],[PF TOTAL]]</f>
        <v>5142184821</v>
      </c>
      <c r="L603" s="23"/>
      <c r="M603" s="126">
        <f>+Tabla134[[#This Row],[PF AJUSTE 1]]+Tabla134[[#This Row],[AJUSTE 2]]</f>
        <v>5142184821</v>
      </c>
    </row>
    <row r="604" spans="2:13" s="13" customFormat="1" ht="15" x14ac:dyDescent="0.25">
      <c r="B604" s="24"/>
      <c r="C604" s="24"/>
      <c r="D604" s="24"/>
      <c r="E604" s="24"/>
      <c r="F604" s="24"/>
      <c r="G604" s="24"/>
      <c r="H604" s="17" t="s">
        <v>660</v>
      </c>
      <c r="I604" s="18"/>
      <c r="J604" s="19" t="s">
        <v>86</v>
      </c>
      <c r="K604" s="156">
        <f t="shared" ref="K604:M608" si="259">+K605</f>
        <v>1200000000</v>
      </c>
      <c r="L604" s="156">
        <f t="shared" si="259"/>
        <v>0</v>
      </c>
      <c r="M604" s="156">
        <f t="shared" si="259"/>
        <v>1200000000</v>
      </c>
    </row>
    <row r="605" spans="2:13" ht="15" x14ac:dyDescent="0.25">
      <c r="B605" s="16"/>
      <c r="C605" s="16"/>
      <c r="D605" s="16"/>
      <c r="E605" s="16"/>
      <c r="F605" s="16"/>
      <c r="G605" s="16"/>
      <c r="H605" s="17" t="s">
        <v>661</v>
      </c>
      <c r="I605" s="18"/>
      <c r="J605" s="19" t="s">
        <v>164</v>
      </c>
      <c r="K605" s="156">
        <f t="shared" si="259"/>
        <v>1200000000</v>
      </c>
      <c r="L605" s="156">
        <f t="shared" si="259"/>
        <v>0</v>
      </c>
      <c r="M605" s="156">
        <f t="shared" si="259"/>
        <v>1200000000</v>
      </c>
    </row>
    <row r="606" spans="2:13" ht="15" x14ac:dyDescent="0.25">
      <c r="B606" s="16"/>
      <c r="C606" s="16"/>
      <c r="D606" s="16"/>
      <c r="E606" s="16"/>
      <c r="F606" s="16"/>
      <c r="G606" s="16"/>
      <c r="H606" s="21" t="s">
        <v>662</v>
      </c>
      <c r="I606" s="18"/>
      <c r="J606" s="22" t="s">
        <v>663</v>
      </c>
      <c r="K606" s="156">
        <f t="shared" si="259"/>
        <v>1200000000</v>
      </c>
      <c r="L606" s="156">
        <f t="shared" si="259"/>
        <v>0</v>
      </c>
      <c r="M606" s="156">
        <f t="shared" si="259"/>
        <v>1200000000</v>
      </c>
    </row>
    <row r="607" spans="2:13" ht="15" x14ac:dyDescent="0.25">
      <c r="B607" s="16"/>
      <c r="C607" s="16"/>
      <c r="D607" s="16"/>
      <c r="E607" s="16"/>
      <c r="F607" s="16"/>
      <c r="G607" s="16"/>
      <c r="H607" s="21" t="s">
        <v>664</v>
      </c>
      <c r="I607" s="18"/>
      <c r="J607" s="22" t="s">
        <v>665</v>
      </c>
      <c r="K607" s="156">
        <f t="shared" si="259"/>
        <v>1200000000</v>
      </c>
      <c r="L607" s="156">
        <f t="shared" si="259"/>
        <v>0</v>
      </c>
      <c r="M607" s="156">
        <f t="shared" si="259"/>
        <v>1200000000</v>
      </c>
    </row>
    <row r="608" spans="2:13" s="13" customFormat="1" ht="15" x14ac:dyDescent="0.25">
      <c r="B608" s="24"/>
      <c r="C608" s="24"/>
      <c r="D608" s="24"/>
      <c r="E608" s="24"/>
      <c r="F608" s="24"/>
      <c r="G608" s="24"/>
      <c r="H608" s="17" t="s">
        <v>666</v>
      </c>
      <c r="I608" s="18"/>
      <c r="J608" s="19" t="s">
        <v>667</v>
      </c>
      <c r="K608" s="156">
        <f>+K609</f>
        <v>1200000000</v>
      </c>
      <c r="L608" s="156">
        <f t="shared" si="259"/>
        <v>0</v>
      </c>
      <c r="M608" s="156">
        <f t="shared" si="259"/>
        <v>1200000000</v>
      </c>
    </row>
    <row r="609" spans="2:13" s="13" customFormat="1" ht="15" x14ac:dyDescent="0.25">
      <c r="B609" s="16" t="s">
        <v>1002</v>
      </c>
      <c r="C609" s="16" t="s">
        <v>1008</v>
      </c>
      <c r="D609" s="46" t="s">
        <v>1051</v>
      </c>
      <c r="E609" s="16" t="s">
        <v>1015</v>
      </c>
      <c r="F609" s="16" t="s">
        <v>1022</v>
      </c>
      <c r="G609" s="16" t="s">
        <v>1025</v>
      </c>
      <c r="H609" s="21" t="s">
        <v>668</v>
      </c>
      <c r="I609" s="18" t="str">
        <f>RIGHT(H609,4)</f>
        <v>- 69</v>
      </c>
      <c r="J609" s="22" t="s">
        <v>667</v>
      </c>
      <c r="K609" s="126">
        <f>+Tabla13[[#This Row],[PF TOTAL]]</f>
        <v>1200000000</v>
      </c>
      <c r="L609" s="23"/>
      <c r="M609" s="126">
        <f>+Tabla134[[#This Row],[PF AJUSTE 1]]+Tabla134[[#This Row],[AJUSTE 2]]</f>
        <v>1200000000</v>
      </c>
    </row>
    <row r="610" spans="2:13" s="13" customFormat="1" ht="15" x14ac:dyDescent="0.25">
      <c r="B610" s="24"/>
      <c r="C610" s="24"/>
      <c r="D610" s="24"/>
      <c r="E610" s="24"/>
      <c r="F610" s="24"/>
      <c r="G610" s="24"/>
      <c r="H610" s="17" t="s">
        <v>669</v>
      </c>
      <c r="I610" s="18"/>
      <c r="J610" s="19" t="s">
        <v>225</v>
      </c>
      <c r="K610" s="156">
        <f>+K611+K622+K630+K634</f>
        <v>37500000000</v>
      </c>
      <c r="L610" s="156">
        <f t="shared" ref="L610:M610" si="260">+L611+L622+L630+L634</f>
        <v>0</v>
      </c>
      <c r="M610" s="156">
        <f t="shared" si="260"/>
        <v>37500000000</v>
      </c>
    </row>
    <row r="611" spans="2:13" s="13" customFormat="1" ht="15" x14ac:dyDescent="0.25">
      <c r="B611" s="24"/>
      <c r="C611" s="24"/>
      <c r="D611" s="24"/>
      <c r="E611" s="24"/>
      <c r="F611" s="24"/>
      <c r="G611" s="24"/>
      <c r="H611" s="17" t="s">
        <v>670</v>
      </c>
      <c r="I611" s="18"/>
      <c r="J611" s="19" t="s">
        <v>239</v>
      </c>
      <c r="K611" s="156">
        <f>+K612</f>
        <v>0</v>
      </c>
      <c r="L611" s="156">
        <f t="shared" ref="L611:M611" si="261">+L612</f>
        <v>0</v>
      </c>
      <c r="M611" s="156">
        <f t="shared" si="261"/>
        <v>0</v>
      </c>
    </row>
    <row r="612" spans="2:13" ht="15" x14ac:dyDescent="0.25">
      <c r="B612" s="16"/>
      <c r="C612" s="16"/>
      <c r="D612" s="16"/>
      <c r="E612" s="16"/>
      <c r="F612" s="16"/>
      <c r="G612" s="16"/>
      <c r="H612" s="17" t="s">
        <v>671</v>
      </c>
      <c r="I612" s="18"/>
      <c r="J612" s="19" t="s">
        <v>241</v>
      </c>
      <c r="K612" s="156">
        <f>SUM(K613:K621)</f>
        <v>0</v>
      </c>
      <c r="L612" s="156">
        <f t="shared" ref="L612:M612" si="262">SUM(L613:L621)</f>
        <v>0</v>
      </c>
      <c r="M612" s="156">
        <f t="shared" si="262"/>
        <v>0</v>
      </c>
    </row>
    <row r="613" spans="2:13" x14ac:dyDescent="0.2">
      <c r="B613" s="16" t="s">
        <v>1002</v>
      </c>
      <c r="C613" s="16" t="s">
        <v>1008</v>
      </c>
      <c r="D613" s="46" t="s">
        <v>1051</v>
      </c>
      <c r="E613" s="16" t="s">
        <v>1016</v>
      </c>
      <c r="F613" s="16" t="s">
        <v>1023</v>
      </c>
      <c r="G613" s="16" t="s">
        <v>1028</v>
      </c>
      <c r="H613" s="21" t="s">
        <v>672</v>
      </c>
      <c r="I613" s="18" t="str">
        <f t="shared" ref="I613:I621" si="263">RIGHT(H613,4)</f>
        <v xml:space="preserve"> 04F</v>
      </c>
      <c r="J613" s="22" t="s">
        <v>241</v>
      </c>
      <c r="K613" s="126">
        <f>+Tabla13[[#This Row],[PF TOTAL]]</f>
        <v>0</v>
      </c>
      <c r="L613" s="23"/>
      <c r="M613" s="126">
        <f>+Tabla134[[#This Row],[PF AJUSTE 1]]+Tabla134[[#This Row],[AJUSTE 2]]</f>
        <v>0</v>
      </c>
    </row>
    <row r="614" spans="2:13" x14ac:dyDescent="0.2">
      <c r="B614" s="16" t="s">
        <v>1002</v>
      </c>
      <c r="C614" s="16" t="s">
        <v>1008</v>
      </c>
      <c r="D614" s="46" t="s">
        <v>1051</v>
      </c>
      <c r="E614" s="16" t="s">
        <v>1016</v>
      </c>
      <c r="F614" s="16" t="s">
        <v>1023</v>
      </c>
      <c r="G614" s="16" t="s">
        <v>1028</v>
      </c>
      <c r="H614" s="21" t="s">
        <v>673</v>
      </c>
      <c r="I614" s="18" t="str">
        <f t="shared" si="263"/>
        <v xml:space="preserve"> 05F</v>
      </c>
      <c r="J614" s="22" t="s">
        <v>241</v>
      </c>
      <c r="K614" s="126">
        <f>+Tabla13[[#This Row],[PF TOTAL]]</f>
        <v>0</v>
      </c>
      <c r="L614" s="23"/>
      <c r="M614" s="126">
        <f>+Tabla134[[#This Row],[PF AJUSTE 1]]+Tabla134[[#This Row],[AJUSTE 2]]</f>
        <v>0</v>
      </c>
    </row>
    <row r="615" spans="2:13" x14ac:dyDescent="0.2">
      <c r="B615" s="16" t="s">
        <v>1002</v>
      </c>
      <c r="C615" s="16" t="s">
        <v>1008</v>
      </c>
      <c r="D615" s="46" t="s">
        <v>1051</v>
      </c>
      <c r="E615" s="16" t="s">
        <v>1016</v>
      </c>
      <c r="F615" s="16" t="s">
        <v>1023</v>
      </c>
      <c r="G615" s="16" t="s">
        <v>1028</v>
      </c>
      <c r="H615" s="21" t="s">
        <v>674</v>
      </c>
      <c r="I615" s="18" t="str">
        <f t="shared" si="263"/>
        <v>06DF</v>
      </c>
      <c r="J615" s="22" t="s">
        <v>241</v>
      </c>
      <c r="K615" s="126">
        <f>+Tabla13[[#This Row],[PF TOTAL]]</f>
        <v>0</v>
      </c>
      <c r="L615" s="23"/>
      <c r="M615" s="126">
        <f>+Tabla134[[#This Row],[PF AJUSTE 1]]+Tabla134[[#This Row],[AJUSTE 2]]</f>
        <v>0</v>
      </c>
    </row>
    <row r="616" spans="2:13" x14ac:dyDescent="0.2">
      <c r="B616" s="16" t="s">
        <v>1002</v>
      </c>
      <c r="C616" s="16" t="s">
        <v>1008</v>
      </c>
      <c r="D616" s="46" t="s">
        <v>1051</v>
      </c>
      <c r="E616" s="16" t="s">
        <v>1016</v>
      </c>
      <c r="F616" s="16" t="s">
        <v>1023</v>
      </c>
      <c r="G616" s="16" t="s">
        <v>1028</v>
      </c>
      <c r="H616" s="21" t="s">
        <v>675</v>
      </c>
      <c r="I616" s="18" t="str">
        <f t="shared" si="263"/>
        <v xml:space="preserve"> 06F</v>
      </c>
      <c r="J616" s="22" t="s">
        <v>241</v>
      </c>
      <c r="K616" s="126">
        <f>+Tabla13[[#This Row],[PF TOTAL]]</f>
        <v>0</v>
      </c>
      <c r="L616" s="23"/>
      <c r="M616" s="126">
        <f>+Tabla134[[#This Row],[PF AJUSTE 1]]+Tabla134[[#This Row],[AJUSTE 2]]</f>
        <v>0</v>
      </c>
    </row>
    <row r="617" spans="2:13" x14ac:dyDescent="0.2">
      <c r="B617" s="16" t="s">
        <v>1002</v>
      </c>
      <c r="C617" s="16" t="s">
        <v>1008</v>
      </c>
      <c r="D617" s="46" t="s">
        <v>1051</v>
      </c>
      <c r="E617" s="16" t="s">
        <v>1015</v>
      </c>
      <c r="F617" s="16" t="s">
        <v>1023</v>
      </c>
      <c r="G617" s="16" t="s">
        <v>1028</v>
      </c>
      <c r="H617" s="21" t="s">
        <v>676</v>
      </c>
      <c r="I617" s="18" t="str">
        <f t="shared" si="263"/>
        <v xml:space="preserve"> 09F</v>
      </c>
      <c r="J617" s="22" t="s">
        <v>241</v>
      </c>
      <c r="K617" s="126">
        <f>+Tabla13[[#This Row],[PF TOTAL]]</f>
        <v>0</v>
      </c>
      <c r="L617" s="23"/>
      <c r="M617" s="126">
        <f>+Tabla134[[#This Row],[PF AJUSTE 1]]+Tabla134[[#This Row],[AJUSTE 2]]</f>
        <v>0</v>
      </c>
    </row>
    <row r="618" spans="2:13" x14ac:dyDescent="0.2">
      <c r="B618" s="16" t="s">
        <v>1002</v>
      </c>
      <c r="C618" s="16" t="s">
        <v>1008</v>
      </c>
      <c r="D618" s="46" t="s">
        <v>1051</v>
      </c>
      <c r="E618" s="16" t="s">
        <v>1015</v>
      </c>
      <c r="F618" s="16" t="s">
        <v>1023</v>
      </c>
      <c r="G618" s="16" t="s">
        <v>1028</v>
      </c>
      <c r="H618" s="21" t="s">
        <v>677</v>
      </c>
      <c r="I618" s="18" t="str">
        <f t="shared" si="263"/>
        <v>100F</v>
      </c>
      <c r="J618" s="22" t="s">
        <v>241</v>
      </c>
      <c r="K618" s="126">
        <f>+Tabla13[[#This Row],[PF TOTAL]]</f>
        <v>0</v>
      </c>
      <c r="L618" s="23"/>
      <c r="M618" s="126">
        <f>+Tabla134[[#This Row],[PF AJUSTE 1]]+Tabla134[[#This Row],[AJUSTE 2]]</f>
        <v>0</v>
      </c>
    </row>
    <row r="619" spans="2:13" x14ac:dyDescent="0.2">
      <c r="B619" s="16" t="s">
        <v>1002</v>
      </c>
      <c r="C619" s="16" t="s">
        <v>1008</v>
      </c>
      <c r="D619" s="46" t="s">
        <v>1051</v>
      </c>
      <c r="E619" s="16" t="s">
        <v>1016</v>
      </c>
      <c r="F619" s="16" t="s">
        <v>1023</v>
      </c>
      <c r="G619" s="16" t="s">
        <v>1028</v>
      </c>
      <c r="H619" s="21" t="s">
        <v>678</v>
      </c>
      <c r="I619" s="18" t="str">
        <f t="shared" si="263"/>
        <v xml:space="preserve"> 12F</v>
      </c>
      <c r="J619" s="22" t="s">
        <v>241</v>
      </c>
      <c r="K619" s="126">
        <f>+Tabla13[[#This Row],[PF TOTAL]]</f>
        <v>0</v>
      </c>
      <c r="L619" s="23"/>
      <c r="M619" s="126">
        <f>+Tabla134[[#This Row],[PF AJUSTE 1]]+Tabla134[[#This Row],[AJUSTE 2]]</f>
        <v>0</v>
      </c>
    </row>
    <row r="620" spans="2:13" x14ac:dyDescent="0.2">
      <c r="B620" s="16" t="s">
        <v>1002</v>
      </c>
      <c r="C620" s="16" t="s">
        <v>1008</v>
      </c>
      <c r="D620" s="46" t="s">
        <v>1051</v>
      </c>
      <c r="E620" s="16" t="s">
        <v>1015</v>
      </c>
      <c r="F620" s="16" t="s">
        <v>1023</v>
      </c>
      <c r="G620" s="16" t="s">
        <v>1028</v>
      </c>
      <c r="H620" s="21" t="s">
        <v>679</v>
      </c>
      <c r="I620" s="18" t="str">
        <f t="shared" si="263"/>
        <v xml:space="preserve"> 69F</v>
      </c>
      <c r="J620" s="22" t="s">
        <v>241</v>
      </c>
      <c r="K620" s="126">
        <f>+Tabla13[[#This Row],[PF TOTAL]]</f>
        <v>0</v>
      </c>
      <c r="L620" s="23"/>
      <c r="M620" s="126">
        <f>+Tabla134[[#This Row],[PF AJUSTE 1]]+Tabla134[[#This Row],[AJUSTE 2]]</f>
        <v>0</v>
      </c>
    </row>
    <row r="621" spans="2:13" s="13" customFormat="1" ht="15" x14ac:dyDescent="0.25">
      <c r="B621" s="16" t="s">
        <v>1002</v>
      </c>
      <c r="C621" s="16" t="s">
        <v>1008</v>
      </c>
      <c r="D621" s="46" t="s">
        <v>1051</v>
      </c>
      <c r="E621" s="16" t="s">
        <v>1016</v>
      </c>
      <c r="F621" s="16" t="s">
        <v>1023</v>
      </c>
      <c r="G621" s="16" t="s">
        <v>1028</v>
      </c>
      <c r="H621" s="21" t="s">
        <v>680</v>
      </c>
      <c r="I621" s="18" t="str">
        <f t="shared" si="263"/>
        <v xml:space="preserve"> 84F</v>
      </c>
      <c r="J621" s="22" t="s">
        <v>241</v>
      </c>
      <c r="K621" s="126">
        <f>+Tabla13[[#This Row],[PF TOTAL]]</f>
        <v>0</v>
      </c>
      <c r="L621" s="23"/>
      <c r="M621" s="126">
        <f>+Tabla134[[#This Row],[PF AJUSTE 1]]+Tabla134[[#This Row],[AJUSTE 2]]</f>
        <v>0</v>
      </c>
    </row>
    <row r="622" spans="2:13" s="13" customFormat="1" ht="15" x14ac:dyDescent="0.25">
      <c r="B622" s="24"/>
      <c r="C622" s="24"/>
      <c r="D622" s="24"/>
      <c r="E622" s="24"/>
      <c r="F622" s="24"/>
      <c r="G622" s="24"/>
      <c r="H622" s="17" t="s">
        <v>681</v>
      </c>
      <c r="I622" s="18"/>
      <c r="J622" s="19" t="s">
        <v>267</v>
      </c>
      <c r="K622" s="156">
        <f>+K623</f>
        <v>0</v>
      </c>
      <c r="L622" s="156">
        <f t="shared" ref="L622:M622" si="264">+L623</f>
        <v>0</v>
      </c>
      <c r="M622" s="156">
        <f t="shared" si="264"/>
        <v>0</v>
      </c>
    </row>
    <row r="623" spans="2:13" ht="15" x14ac:dyDescent="0.25">
      <c r="B623" s="16"/>
      <c r="C623" s="16"/>
      <c r="D623" s="16"/>
      <c r="E623" s="16"/>
      <c r="F623" s="16"/>
      <c r="G623" s="16"/>
      <c r="H623" s="17" t="s">
        <v>682</v>
      </c>
      <c r="I623" s="18"/>
      <c r="J623" s="19" t="s">
        <v>271</v>
      </c>
      <c r="K623" s="156">
        <f>SUM(K624:K629)</f>
        <v>0</v>
      </c>
      <c r="L623" s="156">
        <f t="shared" ref="L623:M623" si="265">SUM(L624:L629)</f>
        <v>0</v>
      </c>
      <c r="M623" s="156">
        <f t="shared" si="265"/>
        <v>0</v>
      </c>
    </row>
    <row r="624" spans="2:13" x14ac:dyDescent="0.2">
      <c r="B624" s="16" t="s">
        <v>1002</v>
      </c>
      <c r="C624" s="16" t="s">
        <v>1008</v>
      </c>
      <c r="D624" s="46" t="s">
        <v>1051</v>
      </c>
      <c r="E624" s="16" t="s">
        <v>1016</v>
      </c>
      <c r="F624" s="16" t="s">
        <v>1023</v>
      </c>
      <c r="G624" s="16" t="s">
        <v>1030</v>
      </c>
      <c r="H624" s="21" t="s">
        <v>759</v>
      </c>
      <c r="I624" s="18" t="str">
        <f t="shared" ref="I624:I629" si="266">RIGHT(H624,4)</f>
        <v>04RB</v>
      </c>
      <c r="J624" s="22" t="s">
        <v>271</v>
      </c>
      <c r="K624" s="126">
        <f>+Tabla13[[#This Row],[PF TOTAL]]</f>
        <v>0</v>
      </c>
      <c r="L624" s="23"/>
      <c r="M624" s="126">
        <f>+Tabla134[[#This Row],[PF AJUSTE 1]]+Tabla134[[#This Row],[AJUSTE 2]]</f>
        <v>0</v>
      </c>
    </row>
    <row r="625" spans="2:13" x14ac:dyDescent="0.2">
      <c r="B625" s="16" t="s">
        <v>1002</v>
      </c>
      <c r="C625" s="16" t="s">
        <v>1008</v>
      </c>
      <c r="D625" s="46" t="s">
        <v>1051</v>
      </c>
      <c r="E625" s="16" t="s">
        <v>1016</v>
      </c>
      <c r="F625" s="16" t="s">
        <v>1023</v>
      </c>
      <c r="G625" s="16" t="s">
        <v>1030</v>
      </c>
      <c r="H625" s="21" t="s">
        <v>760</v>
      </c>
      <c r="I625" s="18" t="str">
        <f t="shared" si="266"/>
        <v>06RB</v>
      </c>
      <c r="J625" s="22" t="s">
        <v>271</v>
      </c>
      <c r="K625" s="126">
        <f>+Tabla13[[#This Row],[PF TOTAL]]</f>
        <v>0</v>
      </c>
      <c r="L625" s="23"/>
      <c r="M625" s="126">
        <f>+Tabla134[[#This Row],[PF AJUSTE 1]]+Tabla134[[#This Row],[AJUSTE 2]]</f>
        <v>0</v>
      </c>
    </row>
    <row r="626" spans="2:13" x14ac:dyDescent="0.2">
      <c r="B626" s="16" t="s">
        <v>1002</v>
      </c>
      <c r="C626" s="16" t="s">
        <v>1008</v>
      </c>
      <c r="D626" s="46" t="s">
        <v>1051</v>
      </c>
      <c r="E626" s="16" t="s">
        <v>1015</v>
      </c>
      <c r="F626" s="16" t="s">
        <v>1023</v>
      </c>
      <c r="G626" s="16" t="s">
        <v>1030</v>
      </c>
      <c r="H626" s="21" t="s">
        <v>761</v>
      </c>
      <c r="I626" s="18" t="str">
        <f t="shared" si="266"/>
        <v>09RB</v>
      </c>
      <c r="J626" s="22" t="s">
        <v>271</v>
      </c>
      <c r="K626" s="126">
        <f>+Tabla13[[#This Row],[PF TOTAL]]</f>
        <v>0</v>
      </c>
      <c r="L626" s="23"/>
      <c r="M626" s="126">
        <f>+Tabla134[[#This Row],[PF AJUSTE 1]]+Tabla134[[#This Row],[AJUSTE 2]]</f>
        <v>0</v>
      </c>
    </row>
    <row r="627" spans="2:13" x14ac:dyDescent="0.2">
      <c r="B627" s="16" t="s">
        <v>1002</v>
      </c>
      <c r="C627" s="16" t="s">
        <v>1008</v>
      </c>
      <c r="D627" s="46" t="s">
        <v>1051</v>
      </c>
      <c r="E627" s="16" t="s">
        <v>1015</v>
      </c>
      <c r="F627" s="16" t="s">
        <v>1023</v>
      </c>
      <c r="G627" s="16" t="s">
        <v>1030</v>
      </c>
      <c r="H627" s="21" t="s">
        <v>762</v>
      </c>
      <c r="I627" s="18" t="str">
        <f t="shared" si="266"/>
        <v>100R</v>
      </c>
      <c r="J627" s="22" t="s">
        <v>271</v>
      </c>
      <c r="K627" s="126">
        <f>+Tabla13[[#This Row],[PF TOTAL]]</f>
        <v>0</v>
      </c>
      <c r="L627" s="23"/>
      <c r="M627" s="126">
        <f>+Tabla134[[#This Row],[PF AJUSTE 1]]+Tabla134[[#This Row],[AJUSTE 2]]</f>
        <v>0</v>
      </c>
    </row>
    <row r="628" spans="2:13" x14ac:dyDescent="0.2">
      <c r="B628" s="16" t="s">
        <v>1002</v>
      </c>
      <c r="C628" s="16" t="s">
        <v>1008</v>
      </c>
      <c r="D628" s="46" t="s">
        <v>1051</v>
      </c>
      <c r="E628" s="16" t="s">
        <v>1016</v>
      </c>
      <c r="F628" s="16" t="s">
        <v>1023</v>
      </c>
      <c r="G628" s="16" t="s">
        <v>1030</v>
      </c>
      <c r="H628" s="21" t="s">
        <v>763</v>
      </c>
      <c r="I628" s="18" t="str">
        <f t="shared" si="266"/>
        <v>12RB</v>
      </c>
      <c r="J628" s="22" t="s">
        <v>271</v>
      </c>
      <c r="K628" s="126">
        <f>+Tabla13[[#This Row],[PF TOTAL]]</f>
        <v>0</v>
      </c>
      <c r="L628" s="23"/>
      <c r="M628" s="126">
        <f>+Tabla134[[#This Row],[PF AJUSTE 1]]+Tabla134[[#This Row],[AJUSTE 2]]</f>
        <v>0</v>
      </c>
    </row>
    <row r="629" spans="2:13" s="13" customFormat="1" ht="15" x14ac:dyDescent="0.25">
      <c r="B629" s="16" t="s">
        <v>1002</v>
      </c>
      <c r="C629" s="16" t="s">
        <v>1008</v>
      </c>
      <c r="D629" s="46" t="s">
        <v>1051</v>
      </c>
      <c r="E629" s="16" t="s">
        <v>1015</v>
      </c>
      <c r="F629" s="16" t="s">
        <v>1023</v>
      </c>
      <c r="G629" s="16" t="s">
        <v>1030</v>
      </c>
      <c r="H629" s="21" t="s">
        <v>764</v>
      </c>
      <c r="I629" s="18" t="str">
        <f t="shared" si="266"/>
        <v>69RB</v>
      </c>
      <c r="J629" s="22" t="s">
        <v>271</v>
      </c>
      <c r="K629" s="126">
        <f>+Tabla13[[#This Row],[PF TOTAL]]</f>
        <v>0</v>
      </c>
      <c r="L629" s="23"/>
      <c r="M629" s="126">
        <f>+Tabla134[[#This Row],[PF AJUSTE 1]]+Tabla134[[#This Row],[AJUSTE 2]]</f>
        <v>0</v>
      </c>
    </row>
    <row r="630" spans="2:13" s="13" customFormat="1" ht="15" x14ac:dyDescent="0.25">
      <c r="B630" s="24"/>
      <c r="C630" s="24"/>
      <c r="D630" s="24"/>
      <c r="E630" s="24"/>
      <c r="F630" s="24"/>
      <c r="G630" s="24"/>
      <c r="H630" s="17" t="s">
        <v>683</v>
      </c>
      <c r="I630" s="18"/>
      <c r="J630" s="19" t="s">
        <v>684</v>
      </c>
      <c r="K630" s="156">
        <f>+K631</f>
        <v>37500000000</v>
      </c>
      <c r="L630" s="156">
        <f t="shared" ref="L630:M630" si="267">+L631</f>
        <v>0</v>
      </c>
      <c r="M630" s="156">
        <f t="shared" si="267"/>
        <v>37500000000</v>
      </c>
    </row>
    <row r="631" spans="2:13" ht="15" x14ac:dyDescent="0.25">
      <c r="B631" s="16"/>
      <c r="C631" s="16"/>
      <c r="D631" s="16"/>
      <c r="E631" s="16"/>
      <c r="F631" s="16"/>
      <c r="G631" s="16"/>
      <c r="H631" s="17" t="s">
        <v>688</v>
      </c>
      <c r="I631" s="18"/>
      <c r="J631" s="19" t="s">
        <v>685</v>
      </c>
      <c r="K631" s="156">
        <f>+K632+K633</f>
        <v>37500000000</v>
      </c>
      <c r="L631" s="156">
        <f t="shared" ref="L631:M631" si="268">+L632+L633</f>
        <v>0</v>
      </c>
      <c r="M631" s="156">
        <f t="shared" si="268"/>
        <v>37500000000</v>
      </c>
    </row>
    <row r="632" spans="2:13" x14ac:dyDescent="0.2">
      <c r="B632" s="16" t="s">
        <v>1002</v>
      </c>
      <c r="C632" s="16" t="s">
        <v>1008</v>
      </c>
      <c r="D632" s="46" t="s">
        <v>1051</v>
      </c>
      <c r="E632" s="16" t="s">
        <v>1015</v>
      </c>
      <c r="F632" s="16" t="s">
        <v>1023</v>
      </c>
      <c r="G632" s="16" t="s">
        <v>1033</v>
      </c>
      <c r="H632" s="21" t="s">
        <v>982</v>
      </c>
      <c r="I632" s="18">
        <v>100</v>
      </c>
      <c r="J632" s="22" t="s">
        <v>685</v>
      </c>
      <c r="K632" s="126">
        <f>+Tabla13[[#This Row],[PF TOTAL]]</f>
        <v>4000000000</v>
      </c>
      <c r="L632" s="23"/>
      <c r="M632" s="126">
        <f>+Tabla134[[#This Row],[PF AJUSTE 1]]+Tabla134[[#This Row],[AJUSTE 2]]</f>
        <v>4000000000</v>
      </c>
    </row>
    <row r="633" spans="2:13" s="13" customFormat="1" ht="15" x14ac:dyDescent="0.25">
      <c r="B633" s="16" t="s">
        <v>1002</v>
      </c>
      <c r="C633" s="16" t="s">
        <v>1008</v>
      </c>
      <c r="D633" s="46" t="s">
        <v>1051</v>
      </c>
      <c r="E633" s="16" t="s">
        <v>1015</v>
      </c>
      <c r="F633" s="16" t="s">
        <v>1023</v>
      </c>
      <c r="G633" s="16" t="s">
        <v>1033</v>
      </c>
      <c r="H633" s="21" t="s">
        <v>966</v>
      </c>
      <c r="I633" s="18" t="s">
        <v>967</v>
      </c>
      <c r="J633" s="22" t="s">
        <v>685</v>
      </c>
      <c r="K633" s="126">
        <f>+Tabla13[[#This Row],[PF TOTAL]]</f>
        <v>33500000000</v>
      </c>
      <c r="L633" s="23"/>
      <c r="M633" s="126">
        <f>+Tabla134[[#This Row],[PF AJUSTE 1]]+Tabla134[[#This Row],[AJUSTE 2]]</f>
        <v>33500000000</v>
      </c>
    </row>
    <row r="634" spans="2:13" s="13" customFormat="1" ht="15" x14ac:dyDescent="0.25">
      <c r="B634" s="24"/>
      <c r="C634" s="24"/>
      <c r="D634" s="24"/>
      <c r="E634" s="24"/>
      <c r="F634" s="24"/>
      <c r="G634" s="24"/>
      <c r="H634" s="17" t="s">
        <v>686</v>
      </c>
      <c r="I634" s="18"/>
      <c r="J634" s="19" t="s">
        <v>273</v>
      </c>
      <c r="K634" s="156">
        <f>+K635</f>
        <v>0</v>
      </c>
      <c r="L634" s="156">
        <f t="shared" ref="L634:M634" si="269">+L635</f>
        <v>0</v>
      </c>
      <c r="M634" s="156">
        <f t="shared" si="269"/>
        <v>0</v>
      </c>
    </row>
    <row r="635" spans="2:13" ht="15" x14ac:dyDescent="0.25">
      <c r="B635" s="16"/>
      <c r="C635" s="16"/>
      <c r="D635" s="16"/>
      <c r="E635" s="16"/>
      <c r="F635" s="16"/>
      <c r="G635" s="16"/>
      <c r="H635" s="17" t="s">
        <v>687</v>
      </c>
      <c r="I635" s="18"/>
      <c r="J635" s="19" t="s">
        <v>275</v>
      </c>
      <c r="K635" s="156">
        <f>+K636+K637+K638</f>
        <v>0</v>
      </c>
      <c r="L635" s="156">
        <f t="shared" ref="L635:M635" si="270">+L636+L637+L638</f>
        <v>0</v>
      </c>
      <c r="M635" s="156">
        <f t="shared" si="270"/>
        <v>0</v>
      </c>
    </row>
    <row r="636" spans="2:13" x14ac:dyDescent="0.2">
      <c r="B636" s="16" t="s">
        <v>1002</v>
      </c>
      <c r="C636" s="16" t="s">
        <v>1008</v>
      </c>
      <c r="D636" s="46" t="s">
        <v>1051</v>
      </c>
      <c r="E636" s="16" t="s">
        <v>1016</v>
      </c>
      <c r="F636" s="16" t="s">
        <v>1023</v>
      </c>
      <c r="G636" s="16" t="s">
        <v>1031</v>
      </c>
      <c r="H636" s="21" t="s">
        <v>765</v>
      </c>
      <c r="I636" s="48" t="str">
        <f>RIGHT(H636,4)</f>
        <v>- 06</v>
      </c>
      <c r="J636" s="22" t="s">
        <v>275</v>
      </c>
      <c r="K636" s="126">
        <f>+Tabla13[[#This Row],[PF TOTAL]]</f>
        <v>0</v>
      </c>
      <c r="L636" s="23"/>
      <c r="M636" s="126">
        <f>+Tabla134[[#This Row],[PF AJUSTE 1]]+Tabla134[[#This Row],[AJUSTE 2]]</f>
        <v>0</v>
      </c>
    </row>
    <row r="637" spans="2:13" x14ac:dyDescent="0.2">
      <c r="B637" s="16" t="s">
        <v>1002</v>
      </c>
      <c r="C637" s="16" t="s">
        <v>1008</v>
      </c>
      <c r="D637" s="46" t="s">
        <v>1051</v>
      </c>
      <c r="E637" s="16" t="s">
        <v>1016</v>
      </c>
      <c r="F637" s="16" t="s">
        <v>1023</v>
      </c>
      <c r="G637" s="16" t="s">
        <v>1031</v>
      </c>
      <c r="H637" s="21" t="s">
        <v>766</v>
      </c>
      <c r="I637" s="18" t="str">
        <f>RIGHT(H637,4)</f>
        <v xml:space="preserve"> 06D</v>
      </c>
      <c r="J637" s="22" t="s">
        <v>275</v>
      </c>
      <c r="K637" s="126">
        <f>+Tabla13[[#This Row],[PF TOTAL]]</f>
        <v>0</v>
      </c>
      <c r="L637" s="23"/>
      <c r="M637" s="126">
        <f>+Tabla134[[#This Row],[PF AJUSTE 1]]+Tabla134[[#This Row],[AJUSTE 2]]</f>
        <v>0</v>
      </c>
    </row>
    <row r="638" spans="2:13" ht="13.5" customHeight="1" x14ac:dyDescent="0.2">
      <c r="B638" s="16" t="s">
        <v>1002</v>
      </c>
      <c r="C638" s="16" t="s">
        <v>1008</v>
      </c>
      <c r="D638" s="46" t="s">
        <v>1051</v>
      </c>
      <c r="E638" s="16" t="s">
        <v>1015</v>
      </c>
      <c r="F638" s="16" t="s">
        <v>1023</v>
      </c>
      <c r="G638" s="16" t="s">
        <v>1031</v>
      </c>
      <c r="H638" s="21" t="s">
        <v>767</v>
      </c>
      <c r="I638" s="18" t="str">
        <f>RIGHT(H638,4)</f>
        <v xml:space="preserve"> 100</v>
      </c>
      <c r="J638" s="22" t="s">
        <v>275</v>
      </c>
      <c r="K638" s="126">
        <f>+Tabla13[[#This Row],[PF TOTAL]]</f>
        <v>0</v>
      </c>
      <c r="L638" s="23"/>
      <c r="M638" s="126">
        <f>+Tabla134[[#This Row],[PF AJUSTE 1]]+Tabla134[[#This Row],[AJUSTE 2]]</f>
        <v>0</v>
      </c>
    </row>
    <row r="639" spans="2:13" ht="15" x14ac:dyDescent="0.25">
      <c r="B639" s="16"/>
      <c r="C639" s="16"/>
      <c r="D639" s="16"/>
      <c r="E639" s="16"/>
      <c r="F639" s="16"/>
      <c r="G639" s="16"/>
      <c r="H639" s="49" t="s">
        <v>804</v>
      </c>
      <c r="I639" s="187"/>
      <c r="J639" s="49"/>
      <c r="K639" s="153">
        <f>+K586</f>
        <v>75255807463</v>
      </c>
      <c r="L639" s="153">
        <f>+L586</f>
        <v>0</v>
      </c>
      <c r="M639" s="153">
        <f>+M586</f>
        <v>75255807463</v>
      </c>
    </row>
    <row r="640" spans="2:13" x14ac:dyDescent="0.2">
      <c r="B640" s="16"/>
      <c r="C640" s="16"/>
      <c r="D640" s="16"/>
      <c r="E640" s="16"/>
      <c r="F640" s="16"/>
      <c r="G640" s="16"/>
      <c r="H640" s="45"/>
      <c r="I640" s="46"/>
      <c r="J640" s="22"/>
      <c r="K640" s="157"/>
    </row>
    <row r="641" spans="2:13" s="52" customFormat="1" ht="15" x14ac:dyDescent="0.25">
      <c r="B641" s="45"/>
      <c r="C641" s="45"/>
      <c r="D641" s="45"/>
      <c r="E641" s="45"/>
      <c r="F641" s="45"/>
      <c r="G641" s="45"/>
      <c r="H641" s="50" t="s">
        <v>805</v>
      </c>
      <c r="I641" s="188"/>
      <c r="J641" s="50"/>
      <c r="K641" s="159">
        <f>+K645+K702+K733+K760+K803</f>
        <v>70821787091</v>
      </c>
      <c r="L641" s="159">
        <f>+L645+L702+L733+L760+L803</f>
        <v>0</v>
      </c>
      <c r="M641" s="159">
        <f>+M645+M702+M733+M760+M803</f>
        <v>70821787091</v>
      </c>
    </row>
    <row r="642" spans="2:13" ht="15" x14ac:dyDescent="0.25">
      <c r="B642" s="16"/>
      <c r="C642" s="16"/>
      <c r="D642" s="16"/>
      <c r="E642" s="16"/>
      <c r="F642" s="16"/>
      <c r="G642" s="16"/>
      <c r="H642" s="53" t="s">
        <v>806</v>
      </c>
      <c r="I642" s="189"/>
      <c r="J642" s="53"/>
      <c r="K642" s="160"/>
      <c r="L642" s="160"/>
      <c r="M642" s="160"/>
    </row>
    <row r="643" spans="2:13" ht="15" x14ac:dyDescent="0.25">
      <c r="B643" s="16"/>
      <c r="C643" s="16"/>
      <c r="D643" s="16"/>
      <c r="E643" s="16"/>
      <c r="F643" s="16"/>
      <c r="G643" s="16"/>
      <c r="H643" s="53" t="s">
        <v>807</v>
      </c>
      <c r="I643" s="189"/>
      <c r="J643" s="53"/>
      <c r="K643" s="160"/>
      <c r="L643" s="160"/>
      <c r="M643" s="160"/>
    </row>
    <row r="644" spans="2:13" ht="15" x14ac:dyDescent="0.2">
      <c r="B644" s="16"/>
      <c r="C644" s="16"/>
      <c r="D644" s="16"/>
      <c r="E644" s="16"/>
      <c r="F644" s="16"/>
      <c r="G644" s="16"/>
      <c r="H644" s="55" t="s">
        <v>778</v>
      </c>
      <c r="I644" s="56"/>
      <c r="J644" s="32" t="s">
        <v>779</v>
      </c>
      <c r="K644" s="161"/>
      <c r="L644" s="161"/>
      <c r="M644" s="161"/>
    </row>
    <row r="645" spans="2:13" ht="15" x14ac:dyDescent="0.2">
      <c r="B645" s="16"/>
      <c r="C645" s="16"/>
      <c r="D645" s="16"/>
      <c r="E645" s="16"/>
      <c r="F645" s="16"/>
      <c r="G645" s="16"/>
      <c r="H645" s="58">
        <v>1</v>
      </c>
      <c r="I645" s="63"/>
      <c r="J645" s="60" t="s">
        <v>768</v>
      </c>
      <c r="K645" s="162">
        <f>+K646+K661</f>
        <v>707000000</v>
      </c>
      <c r="L645" s="162">
        <f>+L646+L661</f>
        <v>0</v>
      </c>
      <c r="M645" s="162">
        <f>+M646+M661</f>
        <v>707000000</v>
      </c>
    </row>
    <row r="646" spans="2:13" ht="15" x14ac:dyDescent="0.2">
      <c r="B646" s="16"/>
      <c r="C646" s="16"/>
      <c r="D646" s="16"/>
      <c r="E646" s="16"/>
      <c r="F646" s="16"/>
      <c r="G646" s="16"/>
      <c r="H646" s="58" t="s">
        <v>809</v>
      </c>
      <c r="I646" s="63"/>
      <c r="J646" s="60" t="s">
        <v>769</v>
      </c>
      <c r="K646" s="162">
        <f t="shared" ref="K646:M648" si="271">+K647</f>
        <v>700000000</v>
      </c>
      <c r="L646" s="162">
        <f t="shared" si="271"/>
        <v>0</v>
      </c>
      <c r="M646" s="162">
        <f t="shared" si="271"/>
        <v>700000000</v>
      </c>
    </row>
    <row r="647" spans="2:13" ht="15" x14ac:dyDescent="0.2">
      <c r="B647" s="16"/>
      <c r="C647" s="16"/>
      <c r="D647" s="16"/>
      <c r="E647" s="16"/>
      <c r="F647" s="16"/>
      <c r="G647" s="16"/>
      <c r="H647" s="58" t="s">
        <v>810</v>
      </c>
      <c r="I647" s="63"/>
      <c r="J647" s="60" t="s">
        <v>770</v>
      </c>
      <c r="K647" s="162">
        <f t="shared" si="271"/>
        <v>700000000</v>
      </c>
      <c r="L647" s="162">
        <f t="shared" si="271"/>
        <v>0</v>
      </c>
      <c r="M647" s="162">
        <f t="shared" si="271"/>
        <v>700000000</v>
      </c>
    </row>
    <row r="648" spans="2:13" ht="15" x14ac:dyDescent="0.2">
      <c r="B648" s="16"/>
      <c r="C648" s="16"/>
      <c r="D648" s="16"/>
      <c r="E648" s="16"/>
      <c r="F648" s="16"/>
      <c r="G648" s="16"/>
      <c r="H648" s="58" t="s">
        <v>811</v>
      </c>
      <c r="I648" s="63"/>
      <c r="J648" s="60" t="s">
        <v>812</v>
      </c>
      <c r="K648" s="162">
        <f t="shared" si="271"/>
        <v>700000000</v>
      </c>
      <c r="L648" s="162">
        <f t="shared" si="271"/>
        <v>0</v>
      </c>
      <c r="M648" s="162">
        <f t="shared" si="271"/>
        <v>700000000</v>
      </c>
    </row>
    <row r="649" spans="2:13" x14ac:dyDescent="0.2">
      <c r="B649" s="16"/>
      <c r="C649" s="16"/>
      <c r="D649" s="16"/>
      <c r="E649" s="16"/>
      <c r="F649" s="16"/>
      <c r="G649" s="16"/>
      <c r="H649" s="62" t="s">
        <v>813</v>
      </c>
      <c r="I649" s="63"/>
      <c r="J649" s="64" t="s">
        <v>814</v>
      </c>
      <c r="K649" s="182">
        <f>+K650</f>
        <v>700000000</v>
      </c>
      <c r="L649" s="182">
        <f>+L650</f>
        <v>0</v>
      </c>
      <c r="M649" s="182">
        <f>+M650</f>
        <v>700000000</v>
      </c>
    </row>
    <row r="650" spans="2:13" x14ac:dyDescent="0.2">
      <c r="B650" s="16" t="s">
        <v>1003</v>
      </c>
      <c r="C650" s="16" t="s">
        <v>1009</v>
      </c>
      <c r="D650" s="46" t="s">
        <v>1051</v>
      </c>
      <c r="E650" s="16" t="s">
        <v>1014</v>
      </c>
      <c r="F650" s="16" t="s">
        <v>1022</v>
      </c>
      <c r="G650" s="16" t="s">
        <v>1025</v>
      </c>
      <c r="H650" s="62" t="s">
        <v>815</v>
      </c>
      <c r="I650" s="63">
        <v>200</v>
      </c>
      <c r="J650" s="64" t="s">
        <v>816</v>
      </c>
      <c r="K650" s="126">
        <f>+Tabla13[[#This Row],[PF TOTAL]]</f>
        <v>700000000</v>
      </c>
      <c r="L650" s="23">
        <v>0</v>
      </c>
      <c r="M650" s="126">
        <f>+Tabla134[[#This Row],[PF AJUSTE 1]]+Tabla134[[#This Row],[AJUSTE 2]]</f>
        <v>700000000</v>
      </c>
    </row>
    <row r="651" spans="2:13" ht="15" x14ac:dyDescent="0.2">
      <c r="B651" s="16"/>
      <c r="C651" s="16"/>
      <c r="D651" s="16"/>
      <c r="E651" s="16"/>
      <c r="F651" s="16"/>
      <c r="G651" s="16"/>
      <c r="H651" s="58" t="s">
        <v>817</v>
      </c>
      <c r="I651" s="63"/>
      <c r="J651" s="60" t="s">
        <v>818</v>
      </c>
      <c r="K651" s="162">
        <f t="shared" ref="K651:M653" si="272">+K652</f>
        <v>0</v>
      </c>
      <c r="L651" s="162">
        <f t="shared" si="272"/>
        <v>0</v>
      </c>
      <c r="M651" s="162">
        <f t="shared" si="272"/>
        <v>0</v>
      </c>
    </row>
    <row r="652" spans="2:13" ht="15" x14ac:dyDescent="0.2">
      <c r="B652" s="16"/>
      <c r="C652" s="16"/>
      <c r="D652" s="16"/>
      <c r="E652" s="16"/>
      <c r="F652" s="16"/>
      <c r="G652" s="16"/>
      <c r="H652" s="58" t="s">
        <v>819</v>
      </c>
      <c r="I652" s="63"/>
      <c r="J652" s="60" t="s">
        <v>820</v>
      </c>
      <c r="K652" s="162">
        <f t="shared" si="272"/>
        <v>0</v>
      </c>
      <c r="L652" s="162">
        <f t="shared" si="272"/>
        <v>0</v>
      </c>
      <c r="M652" s="162">
        <f t="shared" si="272"/>
        <v>0</v>
      </c>
    </row>
    <row r="653" spans="2:13" ht="15" x14ac:dyDescent="0.2">
      <c r="B653" s="16"/>
      <c r="C653" s="16"/>
      <c r="D653" s="16"/>
      <c r="E653" s="16"/>
      <c r="F653" s="16"/>
      <c r="G653" s="16"/>
      <c r="H653" s="58" t="s">
        <v>821</v>
      </c>
      <c r="I653" s="63"/>
      <c r="J653" s="60" t="s">
        <v>822</v>
      </c>
      <c r="K653" s="162">
        <f t="shared" si="272"/>
        <v>0</v>
      </c>
      <c r="L653" s="162">
        <f t="shared" si="272"/>
        <v>0</v>
      </c>
      <c r="M653" s="162">
        <f t="shared" si="272"/>
        <v>0</v>
      </c>
    </row>
    <row r="654" spans="2:13" ht="15" x14ac:dyDescent="0.2">
      <c r="B654" s="16"/>
      <c r="C654" s="16"/>
      <c r="D654" s="16"/>
      <c r="E654" s="16"/>
      <c r="F654" s="16"/>
      <c r="G654" s="16"/>
      <c r="H654" s="58" t="s">
        <v>823</v>
      </c>
      <c r="I654" s="63"/>
      <c r="J654" s="60" t="s">
        <v>824</v>
      </c>
      <c r="K654" s="162">
        <f>SUM(K655:K660)</f>
        <v>0</v>
      </c>
      <c r="L654" s="162">
        <f>SUM(L655:L660)</f>
        <v>0</v>
      </c>
      <c r="M654" s="162">
        <f>SUM(M655:M660)</f>
        <v>0</v>
      </c>
    </row>
    <row r="655" spans="2:13" x14ac:dyDescent="0.2">
      <c r="B655" s="16" t="s">
        <v>1003</v>
      </c>
      <c r="C655" s="16" t="s">
        <v>1009</v>
      </c>
      <c r="D655" s="46" t="s">
        <v>1051</v>
      </c>
      <c r="E655" s="16" t="s">
        <v>1016</v>
      </c>
      <c r="F655" s="16" t="s">
        <v>1022</v>
      </c>
      <c r="G655" s="16" t="s">
        <v>1025</v>
      </c>
      <c r="H655" s="62" t="s">
        <v>825</v>
      </c>
      <c r="I655" s="63">
        <v>4</v>
      </c>
      <c r="J655" s="64" t="s">
        <v>839</v>
      </c>
      <c r="K655" s="126">
        <f>+Tabla13[[#This Row],[PF TOTAL]]</f>
        <v>0</v>
      </c>
      <c r="L655" s="23">
        <v>0</v>
      </c>
      <c r="M655" s="126">
        <f>+Tabla134[[#This Row],[PF AJUSTE 1]]+Tabla134[[#This Row],[AJUSTE 2]]</f>
        <v>0</v>
      </c>
    </row>
    <row r="656" spans="2:13" ht="28.5" customHeight="1" x14ac:dyDescent="0.2">
      <c r="B656" s="16" t="s">
        <v>1003</v>
      </c>
      <c r="C656" s="16" t="s">
        <v>1009</v>
      </c>
      <c r="D656" s="46" t="s">
        <v>1051</v>
      </c>
      <c r="E656" s="16" t="s">
        <v>1015</v>
      </c>
      <c r="F656" s="16" t="s">
        <v>1022</v>
      </c>
      <c r="G656" s="16" t="s">
        <v>1025</v>
      </c>
      <c r="H656" s="62" t="s">
        <v>825</v>
      </c>
      <c r="I656" s="63">
        <v>58</v>
      </c>
      <c r="J656" s="64" t="s">
        <v>826</v>
      </c>
      <c r="K656" s="126">
        <f>+Tabla13[[#This Row],[PF TOTAL]]</f>
        <v>0</v>
      </c>
      <c r="L656" s="23">
        <v>0</v>
      </c>
      <c r="M656" s="126">
        <f>+Tabla134[[#This Row],[PF AJUSTE 1]]+Tabla134[[#This Row],[AJUSTE 2]]</f>
        <v>0</v>
      </c>
    </row>
    <row r="657" spans="2:13" x14ac:dyDescent="0.2">
      <c r="B657" s="16" t="s">
        <v>1003</v>
      </c>
      <c r="C657" s="16" t="s">
        <v>1009</v>
      </c>
      <c r="D657" s="46" t="s">
        <v>1051</v>
      </c>
      <c r="E657" s="16" t="s">
        <v>1015</v>
      </c>
      <c r="F657" s="16" t="s">
        <v>1022</v>
      </c>
      <c r="G657" s="16" t="s">
        <v>1025</v>
      </c>
      <c r="H657" s="62" t="s">
        <v>825</v>
      </c>
      <c r="I657" s="63">
        <v>60</v>
      </c>
      <c r="J657" s="64" t="s">
        <v>827</v>
      </c>
      <c r="K657" s="126">
        <f>+Tabla13[[#This Row],[PF TOTAL]]</f>
        <v>0</v>
      </c>
      <c r="L657" s="23">
        <v>0</v>
      </c>
      <c r="M657" s="126">
        <f>+Tabla134[[#This Row],[PF AJUSTE 1]]+Tabla134[[#This Row],[AJUSTE 2]]</f>
        <v>0</v>
      </c>
    </row>
    <row r="658" spans="2:13" x14ac:dyDescent="0.2">
      <c r="B658" s="16" t="s">
        <v>1003</v>
      </c>
      <c r="C658" s="16" t="s">
        <v>1009</v>
      </c>
      <c r="D658" s="46" t="s">
        <v>1051</v>
      </c>
      <c r="E658" s="16" t="s">
        <v>1015</v>
      </c>
      <c r="F658" s="16" t="s">
        <v>1022</v>
      </c>
      <c r="G658" s="16" t="s">
        <v>1025</v>
      </c>
      <c r="H658" s="62" t="s">
        <v>825</v>
      </c>
      <c r="I658" s="63">
        <v>61</v>
      </c>
      <c r="J658" s="64" t="s">
        <v>828</v>
      </c>
      <c r="K658" s="126">
        <f>+Tabla13[[#This Row],[PF TOTAL]]</f>
        <v>0</v>
      </c>
      <c r="L658" s="23">
        <v>0</v>
      </c>
      <c r="M658" s="126">
        <f>+Tabla134[[#This Row],[PF AJUSTE 1]]+Tabla134[[#This Row],[AJUSTE 2]]</f>
        <v>0</v>
      </c>
    </row>
    <row r="659" spans="2:13" x14ac:dyDescent="0.2">
      <c r="B659" s="16" t="s">
        <v>1003</v>
      </c>
      <c r="C659" s="16" t="s">
        <v>1009</v>
      </c>
      <c r="D659" s="46" t="s">
        <v>1051</v>
      </c>
      <c r="E659" s="16" t="s">
        <v>1014</v>
      </c>
      <c r="F659" s="16" t="s">
        <v>1022</v>
      </c>
      <c r="G659" s="16" t="s">
        <v>1025</v>
      </c>
      <c r="H659" s="62" t="s">
        <v>825</v>
      </c>
      <c r="I659" s="63">
        <v>20</v>
      </c>
      <c r="J659" s="64" t="s">
        <v>829</v>
      </c>
      <c r="K659" s="126">
        <f>+Tabla13[[#This Row],[PF TOTAL]]</f>
        <v>0</v>
      </c>
      <c r="L659" s="23">
        <v>0</v>
      </c>
      <c r="M659" s="126">
        <f>+Tabla134[[#This Row],[PF AJUSTE 1]]+Tabla134[[#This Row],[AJUSTE 2]]</f>
        <v>0</v>
      </c>
    </row>
    <row r="660" spans="2:13" x14ac:dyDescent="0.2">
      <c r="B660" s="16" t="s">
        <v>1003</v>
      </c>
      <c r="C660" s="16" t="s">
        <v>1009</v>
      </c>
      <c r="D660" s="46" t="s">
        <v>1051</v>
      </c>
      <c r="E660" s="16" t="s">
        <v>1014</v>
      </c>
      <c r="F660" s="16" t="s">
        <v>1022</v>
      </c>
      <c r="G660" s="16" t="s">
        <v>1025</v>
      </c>
      <c r="H660" s="62" t="s">
        <v>825</v>
      </c>
      <c r="I660" s="63">
        <v>20</v>
      </c>
      <c r="J660" s="64" t="s">
        <v>830</v>
      </c>
      <c r="K660" s="126">
        <f>+Tabla13[[#This Row],[PF TOTAL]]</f>
        <v>0</v>
      </c>
      <c r="L660" s="65">
        <v>0</v>
      </c>
      <c r="M660" s="126">
        <f>+Tabla134[[#This Row],[PF AJUSTE 1]]+Tabla134[[#This Row],[AJUSTE 2]]</f>
        <v>0</v>
      </c>
    </row>
    <row r="661" spans="2:13" ht="15" x14ac:dyDescent="0.2">
      <c r="B661" s="16"/>
      <c r="C661" s="16"/>
      <c r="D661" s="16"/>
      <c r="E661" s="16"/>
      <c r="F661" s="16"/>
      <c r="G661" s="16"/>
      <c r="H661" s="58" t="s">
        <v>831</v>
      </c>
      <c r="I661" s="63"/>
      <c r="J661" s="60" t="s">
        <v>771</v>
      </c>
      <c r="K661" s="162">
        <f>+K662+K664+K667</f>
        <v>7000000</v>
      </c>
      <c r="L661" s="162">
        <f>+L662+L664+L667</f>
        <v>0</v>
      </c>
      <c r="M661" s="162">
        <f>+M662+M664+M667</f>
        <v>7000000</v>
      </c>
    </row>
    <row r="662" spans="2:13" s="13" customFormat="1" ht="15" x14ac:dyDescent="0.25">
      <c r="B662" s="24"/>
      <c r="C662" s="24"/>
      <c r="D662" s="24"/>
      <c r="E662" s="24"/>
      <c r="F662" s="24"/>
      <c r="G662" s="24"/>
      <c r="H662" s="58" t="s">
        <v>832</v>
      </c>
      <c r="I662" s="63"/>
      <c r="J662" s="60" t="s">
        <v>772</v>
      </c>
      <c r="K662" s="156">
        <f>+K663</f>
        <v>7000000</v>
      </c>
      <c r="L662" s="156">
        <f>+L663</f>
        <v>0</v>
      </c>
      <c r="M662" s="156">
        <f>+M663</f>
        <v>7000000</v>
      </c>
    </row>
    <row r="663" spans="2:13" x14ac:dyDescent="0.2">
      <c r="B663" s="16" t="s">
        <v>1003</v>
      </c>
      <c r="C663" s="16" t="s">
        <v>1009</v>
      </c>
      <c r="D663" s="46" t="s">
        <v>1051</v>
      </c>
      <c r="E663" s="16" t="s">
        <v>1014</v>
      </c>
      <c r="F663" s="16" t="s">
        <v>1023</v>
      </c>
      <c r="G663" s="16" t="s">
        <v>1028</v>
      </c>
      <c r="H663" s="62" t="s">
        <v>833</v>
      </c>
      <c r="I663" s="63">
        <v>200</v>
      </c>
      <c r="J663" s="64" t="s">
        <v>242</v>
      </c>
      <c r="K663" s="65">
        <v>7000000</v>
      </c>
      <c r="L663" s="65">
        <v>0</v>
      </c>
      <c r="M663" s="126">
        <f>+Tabla134[[#This Row],[PF AJUSTE 1]]+Tabla134[[#This Row],[AJUSTE 2]]</f>
        <v>7000000</v>
      </c>
    </row>
    <row r="664" spans="2:13" s="13" customFormat="1" ht="15" x14ac:dyDescent="0.25">
      <c r="B664" s="24"/>
      <c r="C664" s="24"/>
      <c r="D664" s="24"/>
      <c r="E664" s="24"/>
      <c r="F664" s="24"/>
      <c r="G664" s="24"/>
      <c r="H664" s="58" t="s">
        <v>834</v>
      </c>
      <c r="I664" s="63"/>
      <c r="J664" s="60" t="s">
        <v>835</v>
      </c>
      <c r="K664" s="183">
        <f t="shared" ref="K664:M665" si="273">+K665</f>
        <v>0</v>
      </c>
      <c r="L664" s="183">
        <f t="shared" si="273"/>
        <v>0</v>
      </c>
      <c r="M664" s="183">
        <f t="shared" si="273"/>
        <v>0</v>
      </c>
    </row>
    <row r="665" spans="2:13" x14ac:dyDescent="0.2">
      <c r="B665" s="16"/>
      <c r="C665" s="16"/>
      <c r="D665" s="16"/>
      <c r="E665" s="16"/>
      <c r="F665" s="16"/>
      <c r="G665" s="16"/>
      <c r="H665" s="62" t="s">
        <v>836</v>
      </c>
      <c r="I665" s="63"/>
      <c r="J665" s="64" t="s">
        <v>837</v>
      </c>
      <c r="K665" s="163">
        <f t="shared" si="273"/>
        <v>0</v>
      </c>
      <c r="L665" s="163">
        <f t="shared" si="273"/>
        <v>0</v>
      </c>
      <c r="M665" s="163">
        <f t="shared" si="273"/>
        <v>0</v>
      </c>
    </row>
    <row r="666" spans="2:13" x14ac:dyDescent="0.2">
      <c r="B666" s="16" t="s">
        <v>1003</v>
      </c>
      <c r="C666" s="16" t="s">
        <v>1009</v>
      </c>
      <c r="D666" s="46" t="s">
        <v>1051</v>
      </c>
      <c r="E666" s="16" t="s">
        <v>1014</v>
      </c>
      <c r="F666" s="16" t="s">
        <v>1023</v>
      </c>
      <c r="G666" s="16" t="s">
        <v>1035</v>
      </c>
      <c r="H666" s="62" t="s">
        <v>838</v>
      </c>
      <c r="I666" s="63">
        <v>4</v>
      </c>
      <c r="J666" s="64" t="s">
        <v>839</v>
      </c>
      <c r="K666" s="126">
        <f>+Tabla13[[#This Row],[PF TOTAL]]</f>
        <v>0</v>
      </c>
      <c r="L666" s="66">
        <v>0</v>
      </c>
      <c r="M666" s="126">
        <f>+Tabla134[[#This Row],[PF AJUSTE 1]]+Tabla134[[#This Row],[AJUSTE 2]]</f>
        <v>0</v>
      </c>
    </row>
    <row r="667" spans="2:13" s="13" customFormat="1" ht="15" x14ac:dyDescent="0.25">
      <c r="B667" s="24"/>
      <c r="C667" s="24"/>
      <c r="D667" s="24"/>
      <c r="E667" s="24"/>
      <c r="F667" s="24"/>
      <c r="G667" s="24"/>
      <c r="H667" s="58" t="s">
        <v>840</v>
      </c>
      <c r="I667" s="63"/>
      <c r="J667" s="60" t="s">
        <v>841</v>
      </c>
      <c r="K667" s="183">
        <f>+K668+K669</f>
        <v>0</v>
      </c>
      <c r="L667" s="183">
        <f>+L668+L669</f>
        <v>0</v>
      </c>
      <c r="M667" s="183">
        <f>+M668+M669</f>
        <v>0</v>
      </c>
    </row>
    <row r="668" spans="2:13" x14ac:dyDescent="0.2">
      <c r="B668" s="16"/>
      <c r="C668" s="16"/>
      <c r="D668" s="16"/>
      <c r="E668" s="16"/>
      <c r="F668" s="16"/>
      <c r="G668" s="16"/>
      <c r="H668" s="62" t="s">
        <v>842</v>
      </c>
      <c r="I668" s="63"/>
      <c r="J668" s="64" t="s">
        <v>843</v>
      </c>
      <c r="K668" s="163">
        <v>0</v>
      </c>
      <c r="L668" s="163">
        <v>0</v>
      </c>
      <c r="M668" s="163">
        <v>0</v>
      </c>
    </row>
    <row r="669" spans="2:13" x14ac:dyDescent="0.2">
      <c r="B669" s="16" t="s">
        <v>1003</v>
      </c>
      <c r="C669" s="16" t="s">
        <v>1009</v>
      </c>
      <c r="D669" s="46" t="s">
        <v>1051</v>
      </c>
      <c r="E669" s="16" t="s">
        <v>1014</v>
      </c>
      <c r="F669" s="16" t="s">
        <v>1023</v>
      </c>
      <c r="G669" s="16" t="s">
        <v>1030</v>
      </c>
      <c r="H669" s="45" t="s">
        <v>844</v>
      </c>
      <c r="I669" s="67"/>
      <c r="J669" s="68" t="s">
        <v>845</v>
      </c>
      <c r="K669" s="157">
        <v>0</v>
      </c>
      <c r="L669" s="157">
        <v>0</v>
      </c>
      <c r="M669" s="157">
        <v>0</v>
      </c>
    </row>
    <row r="670" spans="2:13" ht="15" x14ac:dyDescent="0.25">
      <c r="B670" s="16"/>
      <c r="C670" s="16"/>
      <c r="D670" s="16"/>
      <c r="E670" s="16"/>
      <c r="F670" s="16"/>
      <c r="G670" s="16"/>
      <c r="H670" s="70" t="s">
        <v>848</v>
      </c>
      <c r="I670" s="190"/>
      <c r="J670" s="70"/>
      <c r="K670" s="164">
        <f>+K645</f>
        <v>707000000</v>
      </c>
      <c r="L670" s="164">
        <f>+L645</f>
        <v>0</v>
      </c>
      <c r="M670" s="164">
        <f>+M645</f>
        <v>707000000</v>
      </c>
    </row>
    <row r="671" spans="2:13" ht="15" x14ac:dyDescent="0.25">
      <c r="B671" s="16"/>
      <c r="C671" s="16"/>
      <c r="D671" s="16"/>
      <c r="E671" s="16"/>
      <c r="F671" s="16"/>
      <c r="G671" s="16"/>
      <c r="H671" s="72"/>
      <c r="I671" s="73"/>
      <c r="J671" s="70"/>
      <c r="K671" s="165"/>
    </row>
    <row r="672" spans="2:13" ht="15" x14ac:dyDescent="0.25">
      <c r="B672" s="16"/>
      <c r="C672" s="16"/>
      <c r="D672" s="16"/>
      <c r="E672" s="16"/>
      <c r="F672" s="16"/>
      <c r="G672" s="16"/>
      <c r="H672" s="75" t="s">
        <v>849</v>
      </c>
      <c r="I672" s="191"/>
      <c r="J672" s="75"/>
      <c r="K672" s="166"/>
    </row>
    <row r="673" spans="2:13" ht="15" x14ac:dyDescent="0.25">
      <c r="B673" s="16"/>
      <c r="C673" s="16"/>
      <c r="D673" s="16"/>
      <c r="E673" s="16"/>
      <c r="F673" s="16"/>
      <c r="G673" s="16"/>
      <c r="H673" s="75" t="s">
        <v>850</v>
      </c>
      <c r="I673" s="191"/>
      <c r="J673" s="75"/>
      <c r="K673" s="166"/>
    </row>
    <row r="674" spans="2:13" ht="15" x14ac:dyDescent="0.2">
      <c r="B674" s="16"/>
      <c r="C674" s="16"/>
      <c r="D674" s="16"/>
      <c r="E674" s="16"/>
      <c r="F674" s="16"/>
      <c r="G674" s="16"/>
      <c r="H674" s="55" t="s">
        <v>778</v>
      </c>
      <c r="I674" s="56"/>
      <c r="J674" s="32" t="s">
        <v>779</v>
      </c>
      <c r="K674" s="161"/>
      <c r="L674" s="161"/>
      <c r="M674" s="161"/>
    </row>
    <row r="675" spans="2:13" ht="15" x14ac:dyDescent="0.25">
      <c r="B675" s="16"/>
      <c r="C675" s="16"/>
      <c r="D675" s="16"/>
      <c r="E675" s="16"/>
      <c r="F675" s="16"/>
      <c r="G675" s="16"/>
      <c r="H675" s="44">
        <v>1</v>
      </c>
      <c r="I675" s="80"/>
      <c r="J675" s="78" t="s">
        <v>768</v>
      </c>
      <c r="K675" s="167">
        <f>+K676+K683</f>
        <v>0</v>
      </c>
      <c r="L675" s="167">
        <f t="shared" ref="L675:M675" si="274">+L676+L683</f>
        <v>0</v>
      </c>
      <c r="M675" s="167">
        <f t="shared" si="274"/>
        <v>0</v>
      </c>
    </row>
    <row r="676" spans="2:13" ht="15" x14ac:dyDescent="0.25">
      <c r="B676" s="16"/>
      <c r="C676" s="16"/>
      <c r="D676" s="16"/>
      <c r="E676" s="16"/>
      <c r="F676" s="16"/>
      <c r="G676" s="16"/>
      <c r="H676" s="44">
        <v>1.1000000000000001</v>
      </c>
      <c r="I676" s="80"/>
      <c r="J676" s="78" t="s">
        <v>769</v>
      </c>
      <c r="K676" s="167">
        <f>+K677</f>
        <v>0</v>
      </c>
      <c r="L676" s="167">
        <f t="shared" ref="L676:M679" si="275">+L677</f>
        <v>0</v>
      </c>
      <c r="M676" s="167">
        <f t="shared" si="275"/>
        <v>0</v>
      </c>
    </row>
    <row r="677" spans="2:13" ht="15" x14ac:dyDescent="0.25">
      <c r="B677" s="16"/>
      <c r="C677" s="16"/>
      <c r="D677" s="16"/>
      <c r="E677" s="16"/>
      <c r="F677" s="16"/>
      <c r="G677" s="16"/>
      <c r="H677" s="17" t="s">
        <v>810</v>
      </c>
      <c r="I677" s="80"/>
      <c r="J677" s="78" t="s">
        <v>770</v>
      </c>
      <c r="K677" s="167">
        <f>+K678</f>
        <v>0</v>
      </c>
      <c r="L677" s="167">
        <f t="shared" si="275"/>
        <v>0</v>
      </c>
      <c r="M677" s="167">
        <f t="shared" si="275"/>
        <v>0</v>
      </c>
    </row>
    <row r="678" spans="2:13" ht="15" x14ac:dyDescent="0.25">
      <c r="B678" s="16"/>
      <c r="C678" s="16"/>
      <c r="D678" s="16"/>
      <c r="E678" s="16"/>
      <c r="F678" s="16"/>
      <c r="G678" s="16"/>
      <c r="H678" s="17" t="s">
        <v>817</v>
      </c>
      <c r="I678" s="80"/>
      <c r="J678" s="78" t="s">
        <v>818</v>
      </c>
      <c r="K678" s="167">
        <f>+K679</f>
        <v>0</v>
      </c>
      <c r="L678" s="167">
        <f t="shared" si="275"/>
        <v>0</v>
      </c>
      <c r="M678" s="167">
        <f t="shared" si="275"/>
        <v>0</v>
      </c>
    </row>
    <row r="679" spans="2:13" ht="15" x14ac:dyDescent="0.25">
      <c r="B679" s="16"/>
      <c r="C679" s="16"/>
      <c r="D679" s="16"/>
      <c r="E679" s="16"/>
      <c r="F679" s="16"/>
      <c r="G679" s="16"/>
      <c r="H679" s="17" t="s">
        <v>819</v>
      </c>
      <c r="I679" s="80"/>
      <c r="J679" s="78" t="s">
        <v>820</v>
      </c>
      <c r="K679" s="167">
        <f>+K680</f>
        <v>0</v>
      </c>
      <c r="L679" s="167">
        <f t="shared" si="275"/>
        <v>0</v>
      </c>
      <c r="M679" s="167">
        <f t="shared" si="275"/>
        <v>0</v>
      </c>
    </row>
    <row r="680" spans="2:13" ht="15" x14ac:dyDescent="0.25">
      <c r="B680" s="16"/>
      <c r="C680" s="16"/>
      <c r="D680" s="16"/>
      <c r="E680" s="16"/>
      <c r="F680" s="16"/>
      <c r="G680" s="16"/>
      <c r="H680" s="17" t="s">
        <v>823</v>
      </c>
      <c r="I680" s="80"/>
      <c r="J680" s="78" t="s">
        <v>851</v>
      </c>
      <c r="K680" s="167">
        <f>+K681+K682</f>
        <v>0</v>
      </c>
      <c r="L680" s="167">
        <f t="shared" ref="L680:M680" si="276">+L681+L682</f>
        <v>0</v>
      </c>
      <c r="M680" s="167">
        <f t="shared" si="276"/>
        <v>0</v>
      </c>
    </row>
    <row r="681" spans="2:13" x14ac:dyDescent="0.2">
      <c r="B681" s="16" t="s">
        <v>1003</v>
      </c>
      <c r="C681" s="16" t="s">
        <v>1010</v>
      </c>
      <c r="D681" s="46" t="s">
        <v>1051</v>
      </c>
      <c r="E681" s="16" t="s">
        <v>1016</v>
      </c>
      <c r="F681" s="16" t="s">
        <v>1022</v>
      </c>
      <c r="G681" s="16" t="s">
        <v>1025</v>
      </c>
      <c r="H681" s="21" t="s">
        <v>852</v>
      </c>
      <c r="I681" s="80">
        <v>12</v>
      </c>
      <c r="J681" s="81" t="s">
        <v>690</v>
      </c>
      <c r="K681" s="23"/>
      <c r="L681" s="23"/>
      <c r="M681" s="126">
        <f>+Tabla134[[#This Row],[PF AJUSTE 1]]+Tabla134[[#This Row],[AJUSTE 2]]</f>
        <v>0</v>
      </c>
    </row>
    <row r="682" spans="2:13" ht="15.75" customHeight="1" x14ac:dyDescent="0.2">
      <c r="B682" s="16" t="s">
        <v>1003</v>
      </c>
      <c r="C682" s="16" t="s">
        <v>1010</v>
      </c>
      <c r="D682" s="46" t="s">
        <v>1051</v>
      </c>
      <c r="E682" s="16" t="s">
        <v>1015</v>
      </c>
      <c r="F682" s="16" t="s">
        <v>1022</v>
      </c>
      <c r="G682" s="16" t="s">
        <v>1025</v>
      </c>
      <c r="H682" s="21" t="s">
        <v>853</v>
      </c>
      <c r="I682" s="80">
        <v>24</v>
      </c>
      <c r="J682" s="81" t="s">
        <v>854</v>
      </c>
      <c r="K682" s="23"/>
      <c r="L682" s="23"/>
      <c r="M682" s="126">
        <f>+Tabla134[[#This Row],[PF AJUSTE 1]]+Tabla134[[#This Row],[AJUSTE 2]]</f>
        <v>0</v>
      </c>
    </row>
    <row r="683" spans="2:13" ht="15" x14ac:dyDescent="0.25">
      <c r="B683" s="16"/>
      <c r="C683" s="16"/>
      <c r="D683" s="16"/>
      <c r="E683" s="16"/>
      <c r="F683" s="16"/>
      <c r="G683" s="16"/>
      <c r="H683" s="44">
        <v>1.2</v>
      </c>
      <c r="I683" s="80"/>
      <c r="J683" s="78" t="s">
        <v>771</v>
      </c>
      <c r="K683" s="167">
        <f>+K684+K689+K693</f>
        <v>0</v>
      </c>
      <c r="L683" s="167">
        <f t="shared" ref="L683:M683" si="277">+L684+L689+L693</f>
        <v>0</v>
      </c>
      <c r="M683" s="167">
        <f t="shared" si="277"/>
        <v>0</v>
      </c>
    </row>
    <row r="684" spans="2:13" ht="15" x14ac:dyDescent="0.25">
      <c r="B684" s="16"/>
      <c r="C684" s="16"/>
      <c r="D684" s="16"/>
      <c r="E684" s="16"/>
      <c r="F684" s="16"/>
      <c r="G684" s="16"/>
      <c r="H684" s="17" t="s">
        <v>855</v>
      </c>
      <c r="I684" s="80"/>
      <c r="J684" s="78" t="s">
        <v>856</v>
      </c>
      <c r="K684" s="167">
        <f>+K685</f>
        <v>0</v>
      </c>
      <c r="L684" s="167">
        <f t="shared" ref="L684:M684" si="278">+L685</f>
        <v>0</v>
      </c>
      <c r="M684" s="167">
        <f t="shared" si="278"/>
        <v>0</v>
      </c>
    </row>
    <row r="685" spans="2:13" ht="15" x14ac:dyDescent="0.25">
      <c r="B685" s="16"/>
      <c r="C685" s="16"/>
      <c r="D685" s="16"/>
      <c r="E685" s="16"/>
      <c r="F685" s="16"/>
      <c r="G685" s="16"/>
      <c r="H685" s="21" t="s">
        <v>857</v>
      </c>
      <c r="I685" s="80"/>
      <c r="J685" s="81" t="s">
        <v>858</v>
      </c>
      <c r="K685" s="167">
        <f>+K686+K687+K688</f>
        <v>0</v>
      </c>
      <c r="L685" s="167">
        <f t="shared" ref="L685:M685" si="279">+L686+L687+L688</f>
        <v>0</v>
      </c>
      <c r="M685" s="167">
        <f t="shared" si="279"/>
        <v>0</v>
      </c>
    </row>
    <row r="686" spans="2:13" x14ac:dyDescent="0.2">
      <c r="B686" s="16" t="s">
        <v>1003</v>
      </c>
      <c r="C686" s="16" t="s">
        <v>1010</v>
      </c>
      <c r="D686" s="46" t="s">
        <v>1051</v>
      </c>
      <c r="E686" s="16" t="s">
        <v>1016</v>
      </c>
      <c r="F686" s="16" t="s">
        <v>1023</v>
      </c>
      <c r="G686" s="16" t="s">
        <v>1025</v>
      </c>
      <c r="H686" s="21" t="s">
        <v>859</v>
      </c>
      <c r="I686" s="80">
        <v>12</v>
      </c>
      <c r="J686" s="81" t="s">
        <v>860</v>
      </c>
      <c r="K686" s="23"/>
      <c r="L686" s="23"/>
      <c r="M686" s="126">
        <f>+Tabla134[[#This Row],[PF AJUSTE 1]]+Tabla134[[#This Row],[AJUSTE 2]]</f>
        <v>0</v>
      </c>
    </row>
    <row r="687" spans="2:13" x14ac:dyDescent="0.2">
      <c r="B687" s="16" t="s">
        <v>1003</v>
      </c>
      <c r="C687" s="16" t="s">
        <v>1010</v>
      </c>
      <c r="D687" s="46" t="s">
        <v>1051</v>
      </c>
      <c r="E687" s="16" t="s">
        <v>1016</v>
      </c>
      <c r="F687" s="16" t="s">
        <v>1023</v>
      </c>
      <c r="G687" s="16" t="s">
        <v>1025</v>
      </c>
      <c r="H687" s="21" t="s">
        <v>861</v>
      </c>
      <c r="I687" s="80">
        <v>12</v>
      </c>
      <c r="J687" s="81" t="s">
        <v>862</v>
      </c>
      <c r="K687" s="23"/>
      <c r="L687" s="23"/>
      <c r="M687" s="126">
        <f>+Tabla134[[#This Row],[PF AJUSTE 1]]+Tabla134[[#This Row],[AJUSTE 2]]</f>
        <v>0</v>
      </c>
    </row>
    <row r="688" spans="2:13" x14ac:dyDescent="0.2">
      <c r="B688" s="16" t="s">
        <v>1003</v>
      </c>
      <c r="C688" s="16" t="s">
        <v>1010</v>
      </c>
      <c r="D688" s="46" t="s">
        <v>1051</v>
      </c>
      <c r="E688" s="16" t="s">
        <v>1016</v>
      </c>
      <c r="F688" s="16" t="s">
        <v>1023</v>
      </c>
      <c r="G688" s="16" t="s">
        <v>1025</v>
      </c>
      <c r="H688" s="21" t="s">
        <v>863</v>
      </c>
      <c r="I688" s="80">
        <v>12</v>
      </c>
      <c r="J688" s="81" t="s">
        <v>864</v>
      </c>
      <c r="K688" s="23"/>
      <c r="L688" s="23"/>
      <c r="M688" s="126">
        <f>+Tabla134[[#This Row],[PF AJUSTE 1]]+Tabla134[[#This Row],[AJUSTE 2]]</f>
        <v>0</v>
      </c>
    </row>
    <row r="689" spans="2:13" ht="15" x14ac:dyDescent="0.25">
      <c r="B689" s="16"/>
      <c r="C689" s="16"/>
      <c r="D689" s="16"/>
      <c r="E689" s="16"/>
      <c r="F689" s="16"/>
      <c r="G689" s="16"/>
      <c r="H689" s="17" t="s">
        <v>832</v>
      </c>
      <c r="I689" s="80"/>
      <c r="J689" s="78" t="s">
        <v>772</v>
      </c>
      <c r="K689" s="167">
        <f>+K690</f>
        <v>0</v>
      </c>
      <c r="L689" s="167">
        <f t="shared" ref="L689:M689" si="280">+L690</f>
        <v>0</v>
      </c>
      <c r="M689" s="167">
        <f t="shared" si="280"/>
        <v>0</v>
      </c>
    </row>
    <row r="690" spans="2:13" ht="15" x14ac:dyDescent="0.25">
      <c r="B690" s="16"/>
      <c r="C690" s="16"/>
      <c r="D690" s="16"/>
      <c r="E690" s="16"/>
      <c r="F690" s="16"/>
      <c r="G690" s="16"/>
      <c r="H690" s="21" t="s">
        <v>846</v>
      </c>
      <c r="I690" s="80"/>
      <c r="J690" s="81" t="s">
        <v>865</v>
      </c>
      <c r="K690" s="167">
        <f>+K691+K692</f>
        <v>0</v>
      </c>
      <c r="L690" s="167">
        <f t="shared" ref="L690:M690" si="281">+L691+L692</f>
        <v>0</v>
      </c>
      <c r="M690" s="167">
        <f t="shared" si="281"/>
        <v>0</v>
      </c>
    </row>
    <row r="691" spans="2:13" x14ac:dyDescent="0.2">
      <c r="B691" s="16" t="s">
        <v>1003</v>
      </c>
      <c r="C691" s="16" t="s">
        <v>1010</v>
      </c>
      <c r="D691" s="46" t="s">
        <v>1051</v>
      </c>
      <c r="E691" s="16" t="s">
        <v>1016</v>
      </c>
      <c r="F691" s="16" t="s">
        <v>1023</v>
      </c>
      <c r="G691" s="16" t="s">
        <v>1028</v>
      </c>
      <c r="H691" s="21" t="s">
        <v>866</v>
      </c>
      <c r="I691" s="80">
        <v>12</v>
      </c>
      <c r="J691" s="81" t="s">
        <v>867</v>
      </c>
      <c r="K691" s="23"/>
      <c r="L691" s="23"/>
      <c r="M691" s="126">
        <f>+Tabla134[[#This Row],[PF AJUSTE 1]]+Tabla134[[#This Row],[AJUSTE 2]]</f>
        <v>0</v>
      </c>
    </row>
    <row r="692" spans="2:13" x14ac:dyDescent="0.2">
      <c r="B692" s="16" t="s">
        <v>1003</v>
      </c>
      <c r="C692" s="16" t="s">
        <v>1010</v>
      </c>
      <c r="D692" s="46" t="s">
        <v>1051</v>
      </c>
      <c r="E692" s="16" t="s">
        <v>1016</v>
      </c>
      <c r="F692" s="16" t="s">
        <v>1023</v>
      </c>
      <c r="G692" s="16" t="s">
        <v>1028</v>
      </c>
      <c r="H692" s="21" t="s">
        <v>868</v>
      </c>
      <c r="I692" s="80">
        <v>12</v>
      </c>
      <c r="J692" s="81" t="s">
        <v>869</v>
      </c>
      <c r="K692" s="23"/>
      <c r="L692" s="23"/>
      <c r="M692" s="126">
        <f>+Tabla134[[#This Row],[PF AJUSTE 1]]+Tabla134[[#This Row],[AJUSTE 2]]</f>
        <v>0</v>
      </c>
    </row>
    <row r="693" spans="2:13" ht="15" x14ac:dyDescent="0.2">
      <c r="B693" s="16"/>
      <c r="C693" s="16"/>
      <c r="D693" s="46"/>
      <c r="E693" s="16"/>
      <c r="F693" s="16"/>
      <c r="G693" s="16"/>
      <c r="H693" s="58" t="s">
        <v>840</v>
      </c>
      <c r="I693" s="63"/>
      <c r="J693" s="60" t="s">
        <v>841</v>
      </c>
      <c r="K693" s="157">
        <f>+K694+K695</f>
        <v>0</v>
      </c>
      <c r="L693" s="157">
        <f t="shared" ref="L693:M693" si="282">+L694+L695</f>
        <v>0</v>
      </c>
      <c r="M693" s="157">
        <f t="shared" si="282"/>
        <v>0</v>
      </c>
    </row>
    <row r="694" spans="2:13" x14ac:dyDescent="0.2">
      <c r="B694" s="16" t="s">
        <v>1003</v>
      </c>
      <c r="C694" s="16" t="s">
        <v>1010</v>
      </c>
      <c r="D694" s="46" t="s">
        <v>1051</v>
      </c>
      <c r="E694" s="16" t="s">
        <v>1016</v>
      </c>
      <c r="F694" s="16" t="s">
        <v>1023</v>
      </c>
      <c r="G694" s="16" t="s">
        <v>1029</v>
      </c>
      <c r="H694" s="62" t="s">
        <v>842</v>
      </c>
      <c r="I694" s="63">
        <v>12</v>
      </c>
      <c r="J694" s="64" t="s">
        <v>843</v>
      </c>
      <c r="K694" s="23"/>
      <c r="L694" s="23"/>
      <c r="M694" s="126">
        <f>+Tabla134[[#This Row],[PF AJUSTE 1]]+Tabla134[[#This Row],[AJUSTE 2]]</f>
        <v>0</v>
      </c>
    </row>
    <row r="695" spans="2:13" x14ac:dyDescent="0.2">
      <c r="B695" s="16" t="s">
        <v>1003</v>
      </c>
      <c r="C695" s="16" t="s">
        <v>1010</v>
      </c>
      <c r="D695" s="46" t="s">
        <v>1051</v>
      </c>
      <c r="E695" s="16" t="s">
        <v>1016</v>
      </c>
      <c r="F695" s="16" t="s">
        <v>1023</v>
      </c>
      <c r="G695" s="16" t="s">
        <v>1030</v>
      </c>
      <c r="H695" s="45" t="s">
        <v>844</v>
      </c>
      <c r="I695" s="67">
        <v>12</v>
      </c>
      <c r="J695" s="68" t="s">
        <v>845</v>
      </c>
      <c r="K695" s="23"/>
      <c r="L695" s="23"/>
      <c r="M695" s="126">
        <f>+Tabla134[[#This Row],[PF AJUSTE 1]]+Tabla134[[#This Row],[AJUSTE 2]]</f>
        <v>0</v>
      </c>
    </row>
    <row r="696" spans="2:13" x14ac:dyDescent="0.2">
      <c r="B696" s="16"/>
      <c r="C696" s="16"/>
      <c r="D696" s="46"/>
      <c r="E696" s="16"/>
      <c r="F696" s="16"/>
      <c r="G696" s="16"/>
      <c r="H696" s="21"/>
      <c r="I696" s="80"/>
      <c r="J696" s="81"/>
      <c r="K696" s="23"/>
      <c r="L696" s="23"/>
      <c r="M696" s="23"/>
    </row>
    <row r="697" spans="2:13" ht="15" x14ac:dyDescent="0.25">
      <c r="B697" s="16"/>
      <c r="C697" s="16"/>
      <c r="D697" s="16"/>
      <c r="E697" s="16"/>
      <c r="F697" s="16"/>
      <c r="G697" s="16"/>
      <c r="H697" s="70"/>
      <c r="I697" s="190"/>
      <c r="J697" s="70" t="s">
        <v>911</v>
      </c>
      <c r="K697" s="165">
        <f>+K675</f>
        <v>0</v>
      </c>
      <c r="L697" s="165">
        <f t="shared" ref="L697:M697" si="283">+L675</f>
        <v>0</v>
      </c>
      <c r="M697" s="165">
        <f t="shared" si="283"/>
        <v>0</v>
      </c>
    </row>
    <row r="698" spans="2:13" ht="15" x14ac:dyDescent="0.25">
      <c r="B698" s="16"/>
      <c r="C698" s="16"/>
      <c r="D698" s="16"/>
      <c r="E698" s="16"/>
      <c r="F698" s="16"/>
      <c r="G698" s="16"/>
      <c r="H698" s="72"/>
      <c r="I698" s="73"/>
      <c r="J698" s="70"/>
      <c r="K698" s="165"/>
    </row>
    <row r="699" spans="2:13" ht="15" x14ac:dyDescent="0.25">
      <c r="B699" s="16"/>
      <c r="C699" s="16"/>
      <c r="D699" s="16"/>
      <c r="E699" s="16"/>
      <c r="F699" s="16"/>
      <c r="G699" s="16"/>
      <c r="H699" s="75" t="s">
        <v>870</v>
      </c>
      <c r="I699" s="191"/>
      <c r="J699" s="75"/>
      <c r="K699" s="166"/>
    </row>
    <row r="700" spans="2:13" ht="15" x14ac:dyDescent="0.25">
      <c r="B700" s="16"/>
      <c r="C700" s="16"/>
      <c r="D700" s="16"/>
      <c r="E700" s="16"/>
      <c r="F700" s="16"/>
      <c r="G700" s="16"/>
      <c r="H700" s="75" t="s">
        <v>871</v>
      </c>
      <c r="I700" s="191"/>
      <c r="J700" s="75"/>
      <c r="K700" s="166"/>
    </row>
    <row r="701" spans="2:13" ht="15" x14ac:dyDescent="0.2">
      <c r="B701" s="16"/>
      <c r="C701" s="16"/>
      <c r="D701" s="16"/>
      <c r="E701" s="16"/>
      <c r="F701" s="16"/>
      <c r="G701" s="16"/>
      <c r="H701" s="55" t="s">
        <v>778</v>
      </c>
      <c r="I701" s="56"/>
      <c r="J701" s="32" t="s">
        <v>779</v>
      </c>
      <c r="K701" s="161"/>
    </row>
    <row r="702" spans="2:13" ht="15" x14ac:dyDescent="0.2">
      <c r="B702" s="16"/>
      <c r="C702" s="16"/>
      <c r="D702" s="16"/>
      <c r="E702" s="16"/>
      <c r="F702" s="16"/>
      <c r="G702" s="16"/>
      <c r="H702" s="44" t="s">
        <v>886</v>
      </c>
      <c r="I702" s="85" t="s">
        <v>969</v>
      </c>
      <c r="J702" s="83" t="s">
        <v>768</v>
      </c>
      <c r="K702" s="168">
        <f>+K703+K719</f>
        <v>2327000000</v>
      </c>
      <c r="L702" s="168">
        <f>+L703+L719</f>
        <v>0</v>
      </c>
      <c r="M702" s="168">
        <f>+M703+M719</f>
        <v>2327000000</v>
      </c>
    </row>
    <row r="703" spans="2:13" ht="15" x14ac:dyDescent="0.2">
      <c r="B703" s="16"/>
      <c r="C703" s="16"/>
      <c r="D703" s="16"/>
      <c r="E703" s="16"/>
      <c r="F703" s="16"/>
      <c r="G703" s="16"/>
      <c r="H703" s="17" t="s">
        <v>809</v>
      </c>
      <c r="I703" s="85" t="s">
        <v>969</v>
      </c>
      <c r="J703" s="83" t="s">
        <v>769</v>
      </c>
      <c r="K703" s="168">
        <f t="shared" ref="K703:M704" si="284">+K704</f>
        <v>2327000000</v>
      </c>
      <c r="L703" s="168">
        <f t="shared" si="284"/>
        <v>0</v>
      </c>
      <c r="M703" s="168">
        <f t="shared" si="284"/>
        <v>2327000000</v>
      </c>
    </row>
    <row r="704" spans="2:13" ht="15" x14ac:dyDescent="0.2">
      <c r="B704" s="16"/>
      <c r="C704" s="16"/>
      <c r="D704" s="16"/>
      <c r="E704" s="16"/>
      <c r="F704" s="16"/>
      <c r="G704" s="16"/>
      <c r="H704" s="17" t="s">
        <v>810</v>
      </c>
      <c r="I704" s="85" t="s">
        <v>969</v>
      </c>
      <c r="J704" s="83" t="s">
        <v>770</v>
      </c>
      <c r="K704" s="168">
        <f t="shared" si="284"/>
        <v>2327000000</v>
      </c>
      <c r="L704" s="168">
        <f t="shared" si="284"/>
        <v>0</v>
      </c>
      <c r="M704" s="168">
        <f t="shared" si="284"/>
        <v>2327000000</v>
      </c>
    </row>
    <row r="705" spans="2:13" ht="15" x14ac:dyDescent="0.2">
      <c r="B705" s="16"/>
      <c r="C705" s="16"/>
      <c r="D705" s="16"/>
      <c r="E705" s="16"/>
      <c r="F705" s="16"/>
      <c r="G705" s="16"/>
      <c r="H705" s="17" t="s">
        <v>811</v>
      </c>
      <c r="I705" s="85" t="s">
        <v>969</v>
      </c>
      <c r="J705" s="83" t="s">
        <v>812</v>
      </c>
      <c r="K705" s="168">
        <f t="shared" ref="K705:M706" si="285">+K706+K714</f>
        <v>2327000000</v>
      </c>
      <c r="L705" s="168">
        <f t="shared" si="285"/>
        <v>0</v>
      </c>
      <c r="M705" s="168">
        <f t="shared" si="285"/>
        <v>2327000000</v>
      </c>
    </row>
    <row r="706" spans="2:13" ht="15" x14ac:dyDescent="0.2">
      <c r="B706" s="16"/>
      <c r="C706" s="16"/>
      <c r="D706" s="16"/>
      <c r="E706" s="16"/>
      <c r="F706" s="16"/>
      <c r="G706" s="16"/>
      <c r="H706" s="17" t="s">
        <v>813</v>
      </c>
      <c r="I706" s="85" t="s">
        <v>969</v>
      </c>
      <c r="J706" s="83" t="s">
        <v>814</v>
      </c>
      <c r="K706" s="168">
        <f t="shared" si="285"/>
        <v>2327000000</v>
      </c>
      <c r="L706" s="168">
        <f t="shared" si="285"/>
        <v>0</v>
      </c>
      <c r="M706" s="168">
        <f t="shared" si="285"/>
        <v>2327000000</v>
      </c>
    </row>
    <row r="707" spans="2:13" x14ac:dyDescent="0.2">
      <c r="B707" s="16"/>
      <c r="C707" s="16"/>
      <c r="D707" s="16"/>
      <c r="E707" s="16"/>
      <c r="F707" s="16"/>
      <c r="G707" s="16"/>
      <c r="H707" s="21" t="s">
        <v>872</v>
      </c>
      <c r="I707" s="85" t="s">
        <v>969</v>
      </c>
      <c r="J707" s="86" t="s">
        <v>970</v>
      </c>
      <c r="K707" s="169">
        <f t="shared" ref="K707:M708" si="286">+K708</f>
        <v>2327000000</v>
      </c>
      <c r="L707" s="169">
        <f t="shared" si="286"/>
        <v>0</v>
      </c>
      <c r="M707" s="169">
        <f t="shared" si="286"/>
        <v>2327000000</v>
      </c>
    </row>
    <row r="708" spans="2:13" x14ac:dyDescent="0.2">
      <c r="B708" s="16"/>
      <c r="C708" s="16"/>
      <c r="D708" s="16"/>
      <c r="E708" s="16"/>
      <c r="F708" s="16"/>
      <c r="G708" s="16"/>
      <c r="H708" s="21" t="s">
        <v>873</v>
      </c>
      <c r="I708" s="85" t="s">
        <v>969</v>
      </c>
      <c r="J708" s="88" t="s">
        <v>971</v>
      </c>
      <c r="K708" s="169">
        <f t="shared" si="286"/>
        <v>2327000000</v>
      </c>
      <c r="L708" s="169">
        <f t="shared" si="286"/>
        <v>0</v>
      </c>
      <c r="M708" s="169">
        <f t="shared" si="286"/>
        <v>2327000000</v>
      </c>
    </row>
    <row r="709" spans="2:13" ht="28.5" x14ac:dyDescent="0.2">
      <c r="B709" s="16"/>
      <c r="C709" s="16"/>
      <c r="D709" s="16"/>
      <c r="E709" s="16"/>
      <c r="F709" s="16"/>
      <c r="G709" s="16"/>
      <c r="H709" s="21" t="s">
        <v>972</v>
      </c>
      <c r="I709" s="85" t="s">
        <v>969</v>
      </c>
      <c r="J709" s="89" t="s">
        <v>973</v>
      </c>
      <c r="K709" s="169">
        <f>+K710+K712</f>
        <v>2327000000</v>
      </c>
      <c r="L709" s="169">
        <f>+L710+L712</f>
        <v>0</v>
      </c>
      <c r="M709" s="169">
        <f>+M710+M712</f>
        <v>2327000000</v>
      </c>
    </row>
    <row r="710" spans="2:13" x14ac:dyDescent="0.2">
      <c r="B710" s="16"/>
      <c r="C710" s="16"/>
      <c r="D710" s="16"/>
      <c r="E710" s="16"/>
      <c r="F710" s="16"/>
      <c r="G710" s="16"/>
      <c r="H710" s="21" t="s">
        <v>974</v>
      </c>
      <c r="I710" s="85" t="s">
        <v>969</v>
      </c>
      <c r="J710" s="86" t="s">
        <v>975</v>
      </c>
      <c r="K710" s="157">
        <f>+K711</f>
        <v>150000000</v>
      </c>
      <c r="L710" s="157">
        <f>+L711</f>
        <v>0</v>
      </c>
      <c r="M710" s="157">
        <f>+M711</f>
        <v>150000000</v>
      </c>
    </row>
    <row r="711" spans="2:13" ht="15" x14ac:dyDescent="0.2">
      <c r="B711" s="16" t="s">
        <v>1003</v>
      </c>
      <c r="C711" s="16" t="s">
        <v>1011</v>
      </c>
      <c r="D711" s="46" t="s">
        <v>1051</v>
      </c>
      <c r="E711" s="16" t="s">
        <v>1015</v>
      </c>
      <c r="F711" s="16" t="s">
        <v>1022</v>
      </c>
      <c r="G711" s="16" t="s">
        <v>1025</v>
      </c>
      <c r="H711" s="17" t="s">
        <v>976</v>
      </c>
      <c r="I711" s="85">
        <v>199</v>
      </c>
      <c r="J711" s="83" t="s">
        <v>977</v>
      </c>
      <c r="K711" s="90">
        <v>150000000</v>
      </c>
      <c r="L711" s="90">
        <v>0</v>
      </c>
      <c r="M711" s="126">
        <f>+Tabla134[[#This Row],[PF AJUSTE 1]]+Tabla134[[#This Row],[AJUSTE 2]]</f>
        <v>150000000</v>
      </c>
    </row>
    <row r="712" spans="2:13" ht="15" x14ac:dyDescent="0.2">
      <c r="B712" s="16"/>
      <c r="C712" s="16"/>
      <c r="D712" s="16"/>
      <c r="E712" s="16"/>
      <c r="F712" s="16"/>
      <c r="G712" s="16"/>
      <c r="H712" s="17" t="s">
        <v>874</v>
      </c>
      <c r="I712" s="85" t="s">
        <v>969</v>
      </c>
      <c r="J712" s="83" t="s">
        <v>978</v>
      </c>
      <c r="K712" s="170">
        <f>+K713</f>
        <v>2177000000</v>
      </c>
      <c r="L712" s="170">
        <f>+L713</f>
        <v>0</v>
      </c>
      <c r="M712" s="170">
        <f>+M713</f>
        <v>2177000000</v>
      </c>
    </row>
    <row r="713" spans="2:13" x14ac:dyDescent="0.2">
      <c r="B713" s="16" t="s">
        <v>1003</v>
      </c>
      <c r="C713" s="16" t="s">
        <v>1011</v>
      </c>
      <c r="D713" s="46" t="s">
        <v>1051</v>
      </c>
      <c r="E713" s="16" t="s">
        <v>1015</v>
      </c>
      <c r="F713" s="16" t="s">
        <v>1022</v>
      </c>
      <c r="G713" s="16" t="s">
        <v>1025</v>
      </c>
      <c r="H713" s="21" t="s">
        <v>875</v>
      </c>
      <c r="I713" s="85" t="s">
        <v>979</v>
      </c>
      <c r="J713" s="86" t="s">
        <v>876</v>
      </c>
      <c r="K713" s="90">
        <v>2177000000</v>
      </c>
      <c r="L713" s="90">
        <v>0</v>
      </c>
      <c r="M713" s="126">
        <f>+Tabla134[[#This Row],[PF AJUSTE 1]]+Tabla134[[#This Row],[AJUSTE 2]]</f>
        <v>2177000000</v>
      </c>
    </row>
    <row r="714" spans="2:13" x14ac:dyDescent="0.2">
      <c r="B714" s="16"/>
      <c r="C714" s="16"/>
      <c r="D714" s="16"/>
      <c r="E714" s="16"/>
      <c r="F714" s="16"/>
      <c r="G714" s="16"/>
      <c r="H714" s="21" t="s">
        <v>817</v>
      </c>
      <c r="I714" s="48" t="s">
        <v>969</v>
      </c>
      <c r="J714" s="86" t="s">
        <v>818</v>
      </c>
      <c r="K714" s="157">
        <f t="shared" ref="K714:M715" si="287">+K715</f>
        <v>0</v>
      </c>
      <c r="L714" s="157">
        <f t="shared" si="287"/>
        <v>0</v>
      </c>
      <c r="M714" s="157">
        <f t="shared" si="287"/>
        <v>0</v>
      </c>
    </row>
    <row r="715" spans="2:13" x14ac:dyDescent="0.2">
      <c r="B715" s="16"/>
      <c r="C715" s="16"/>
      <c r="D715" s="16"/>
      <c r="E715" s="16"/>
      <c r="F715" s="16"/>
      <c r="G715" s="16"/>
      <c r="H715" s="21" t="s">
        <v>819</v>
      </c>
      <c r="I715" s="48" t="s">
        <v>969</v>
      </c>
      <c r="J715" s="86" t="s">
        <v>820</v>
      </c>
      <c r="K715" s="157">
        <f t="shared" si="287"/>
        <v>0</v>
      </c>
      <c r="L715" s="157">
        <f t="shared" si="287"/>
        <v>0</v>
      </c>
      <c r="M715" s="157">
        <f t="shared" si="287"/>
        <v>0</v>
      </c>
    </row>
    <row r="716" spans="2:13" ht="15" x14ac:dyDescent="0.2">
      <c r="B716" s="16"/>
      <c r="C716" s="16"/>
      <c r="D716" s="16"/>
      <c r="E716" s="16"/>
      <c r="F716" s="16"/>
      <c r="G716" s="16"/>
      <c r="H716" s="17" t="s">
        <v>823</v>
      </c>
      <c r="I716" s="85" t="s">
        <v>969</v>
      </c>
      <c r="J716" s="83" t="s">
        <v>851</v>
      </c>
      <c r="K716" s="171">
        <f>+K717+K718</f>
        <v>0</v>
      </c>
      <c r="L716" s="171">
        <f>+L717+L718</f>
        <v>0</v>
      </c>
      <c r="M716" s="171">
        <f>+M717+M718</f>
        <v>0</v>
      </c>
    </row>
    <row r="717" spans="2:13" ht="15" x14ac:dyDescent="0.2">
      <c r="B717" s="16" t="s">
        <v>1003</v>
      </c>
      <c r="C717" s="16" t="s">
        <v>1011</v>
      </c>
      <c r="D717" s="46" t="s">
        <v>1051</v>
      </c>
      <c r="E717" s="16" t="s">
        <v>1016</v>
      </c>
      <c r="F717" s="16" t="s">
        <v>1022</v>
      </c>
      <c r="G717" s="16" t="s">
        <v>1025</v>
      </c>
      <c r="H717" s="17" t="s">
        <v>852</v>
      </c>
      <c r="I717" s="85" t="s">
        <v>877</v>
      </c>
      <c r="J717" s="86" t="s">
        <v>980</v>
      </c>
      <c r="K717" s="90">
        <v>0</v>
      </c>
      <c r="L717" s="90">
        <v>0</v>
      </c>
      <c r="M717" s="126">
        <f>+Tabla134[[#This Row],[PF AJUSTE 1]]+Tabla134[[#This Row],[AJUSTE 2]]</f>
        <v>0</v>
      </c>
    </row>
    <row r="718" spans="2:13" x14ac:dyDescent="0.2">
      <c r="B718" s="16" t="s">
        <v>1003</v>
      </c>
      <c r="C718" s="16" t="s">
        <v>1011</v>
      </c>
      <c r="D718" s="46" t="s">
        <v>1051</v>
      </c>
      <c r="E718" s="16" t="s">
        <v>1014</v>
      </c>
      <c r="F718" s="16" t="s">
        <v>1022</v>
      </c>
      <c r="G718" s="16" t="s">
        <v>1025</v>
      </c>
      <c r="H718" s="21" t="s">
        <v>878</v>
      </c>
      <c r="I718" s="85" t="s">
        <v>879</v>
      </c>
      <c r="J718" s="92" t="s">
        <v>981</v>
      </c>
      <c r="K718" s="90">
        <v>0</v>
      </c>
      <c r="L718" s="90">
        <v>0</v>
      </c>
      <c r="M718" s="126">
        <f>+Tabla134[[#This Row],[PF AJUSTE 1]]+Tabla134[[#This Row],[AJUSTE 2]]</f>
        <v>0</v>
      </c>
    </row>
    <row r="719" spans="2:13" ht="15" x14ac:dyDescent="0.25">
      <c r="B719" s="16"/>
      <c r="C719" s="16"/>
      <c r="D719" s="16"/>
      <c r="E719" s="16"/>
      <c r="F719" s="16"/>
      <c r="G719" s="16"/>
      <c r="H719" s="44">
        <v>1.2</v>
      </c>
      <c r="I719" s="80"/>
      <c r="J719" s="78" t="s">
        <v>771</v>
      </c>
      <c r="K719" s="167">
        <f>+K720+K724</f>
        <v>0</v>
      </c>
      <c r="L719" s="167">
        <f>+L720+L724</f>
        <v>0</v>
      </c>
      <c r="M719" s="167">
        <f>+M720+M724</f>
        <v>0</v>
      </c>
    </row>
    <row r="720" spans="2:13" ht="15" x14ac:dyDescent="0.25">
      <c r="B720" s="16"/>
      <c r="C720" s="16"/>
      <c r="D720" s="16"/>
      <c r="E720" s="16"/>
      <c r="F720" s="16"/>
      <c r="G720" s="16"/>
      <c r="H720" s="17" t="s">
        <v>832</v>
      </c>
      <c r="I720" s="80"/>
      <c r="J720" s="78" t="s">
        <v>772</v>
      </c>
      <c r="K720" s="167">
        <f>+K721</f>
        <v>0</v>
      </c>
      <c r="L720" s="167">
        <f>+L721</f>
        <v>0</v>
      </c>
      <c r="M720" s="167">
        <f>+M721</f>
        <v>0</v>
      </c>
    </row>
    <row r="721" spans="2:13" ht="15" x14ac:dyDescent="0.25">
      <c r="B721" s="16"/>
      <c r="C721" s="16"/>
      <c r="D721" s="16"/>
      <c r="E721" s="16"/>
      <c r="F721" s="16"/>
      <c r="G721" s="16"/>
      <c r="H721" s="21" t="s">
        <v>846</v>
      </c>
      <c r="I721" s="80"/>
      <c r="J721" s="81" t="s">
        <v>865</v>
      </c>
      <c r="K721" s="167">
        <f>+K722+K723</f>
        <v>0</v>
      </c>
      <c r="L721" s="167">
        <f>+L722+L723</f>
        <v>0</v>
      </c>
      <c r="M721" s="167">
        <f>+M722+M723</f>
        <v>0</v>
      </c>
    </row>
    <row r="722" spans="2:13" x14ac:dyDescent="0.2">
      <c r="B722" s="16" t="s">
        <v>1003</v>
      </c>
      <c r="C722" s="16" t="s">
        <v>1011</v>
      </c>
      <c r="D722" s="46" t="s">
        <v>1051</v>
      </c>
      <c r="E722" s="16" t="s">
        <v>1016</v>
      </c>
      <c r="F722" s="16" t="s">
        <v>1023</v>
      </c>
      <c r="G722" s="16" t="s">
        <v>1028</v>
      </c>
      <c r="H722" s="21" t="s">
        <v>866</v>
      </c>
      <c r="I722" s="85" t="s">
        <v>877</v>
      </c>
      <c r="J722" s="81" t="s">
        <v>867</v>
      </c>
      <c r="K722" s="23"/>
      <c r="L722" s="23"/>
      <c r="M722" s="126">
        <f>+Tabla134[[#This Row],[PF AJUSTE 1]]+Tabla134[[#This Row],[AJUSTE 2]]</f>
        <v>0</v>
      </c>
    </row>
    <row r="723" spans="2:13" x14ac:dyDescent="0.2">
      <c r="B723" s="16" t="s">
        <v>1003</v>
      </c>
      <c r="C723" s="16" t="s">
        <v>1011</v>
      </c>
      <c r="D723" s="46" t="s">
        <v>1051</v>
      </c>
      <c r="E723" s="16" t="s">
        <v>1016</v>
      </c>
      <c r="F723" s="16" t="s">
        <v>1023</v>
      </c>
      <c r="G723" s="16" t="s">
        <v>1028</v>
      </c>
      <c r="H723" s="21" t="s">
        <v>868</v>
      </c>
      <c r="I723" s="85" t="s">
        <v>877</v>
      </c>
      <c r="J723" s="81" t="s">
        <v>869</v>
      </c>
      <c r="K723" s="23"/>
      <c r="L723" s="23"/>
      <c r="M723" s="126">
        <f>+Tabla134[[#This Row],[PF AJUSTE 1]]+Tabla134[[#This Row],[AJUSTE 2]]</f>
        <v>0</v>
      </c>
    </row>
    <row r="724" spans="2:13" ht="15" x14ac:dyDescent="0.2">
      <c r="B724" s="16"/>
      <c r="C724" s="16"/>
      <c r="D724" s="46"/>
      <c r="E724" s="16"/>
      <c r="F724" s="16"/>
      <c r="G724" s="16"/>
      <c r="H724" s="58" t="s">
        <v>840</v>
      </c>
      <c r="I724" s="63"/>
      <c r="J724" s="60" t="s">
        <v>841</v>
      </c>
      <c r="K724" s="157">
        <f>+K725+K726</f>
        <v>0</v>
      </c>
      <c r="L724" s="157">
        <f>+L725+L726</f>
        <v>0</v>
      </c>
      <c r="M724" s="157">
        <f>+M725+M726</f>
        <v>0</v>
      </c>
    </row>
    <row r="725" spans="2:13" x14ac:dyDescent="0.2">
      <c r="B725" s="16" t="s">
        <v>1003</v>
      </c>
      <c r="C725" s="16" t="s">
        <v>1011</v>
      </c>
      <c r="D725" s="46" t="s">
        <v>1051</v>
      </c>
      <c r="E725" s="16" t="s">
        <v>1016</v>
      </c>
      <c r="F725" s="16" t="s">
        <v>1023</v>
      </c>
      <c r="G725" s="16" t="s">
        <v>1029</v>
      </c>
      <c r="H725" s="62" t="s">
        <v>842</v>
      </c>
      <c r="I725" s="85" t="s">
        <v>877</v>
      </c>
      <c r="J725" s="64" t="s">
        <v>843</v>
      </c>
      <c r="K725" s="23"/>
      <c r="L725" s="23"/>
      <c r="M725" s="126">
        <f>+Tabla134[[#This Row],[PF AJUSTE 1]]+Tabla134[[#This Row],[AJUSTE 2]]</f>
        <v>0</v>
      </c>
    </row>
    <row r="726" spans="2:13" x14ac:dyDescent="0.2">
      <c r="B726" s="16" t="s">
        <v>1003</v>
      </c>
      <c r="C726" s="16" t="s">
        <v>1011</v>
      </c>
      <c r="D726" s="46" t="s">
        <v>1051</v>
      </c>
      <c r="E726" s="16" t="s">
        <v>1016</v>
      </c>
      <c r="F726" s="16" t="s">
        <v>1023</v>
      </c>
      <c r="G726" s="16" t="s">
        <v>1030</v>
      </c>
      <c r="H726" s="45" t="s">
        <v>844</v>
      </c>
      <c r="I726" s="85" t="s">
        <v>877</v>
      </c>
      <c r="J726" s="68" t="s">
        <v>845</v>
      </c>
      <c r="K726" s="23"/>
      <c r="L726" s="23"/>
      <c r="M726" s="126">
        <f>+Tabla134[[#This Row],[PF AJUSTE 1]]+Tabla134[[#This Row],[AJUSTE 2]]</f>
        <v>0</v>
      </c>
    </row>
    <row r="727" spans="2:13" x14ac:dyDescent="0.2">
      <c r="B727" s="16"/>
      <c r="C727" s="16"/>
      <c r="D727" s="46"/>
      <c r="E727" s="16"/>
      <c r="F727" s="16"/>
      <c r="G727" s="16"/>
      <c r="H727" s="21"/>
      <c r="I727" s="85"/>
      <c r="J727" s="92"/>
      <c r="K727" s="90"/>
      <c r="L727" s="90"/>
      <c r="M727" s="90"/>
    </row>
    <row r="728" spans="2:13" ht="15" x14ac:dyDescent="0.25">
      <c r="B728" s="16"/>
      <c r="C728" s="16"/>
      <c r="D728" s="16"/>
      <c r="E728" s="16"/>
      <c r="F728" s="16"/>
      <c r="G728" s="16"/>
      <c r="H728" s="93" t="s">
        <v>883</v>
      </c>
      <c r="I728" s="192"/>
      <c r="J728" s="93"/>
      <c r="K728" s="172">
        <f>+K702</f>
        <v>2327000000</v>
      </c>
      <c r="L728" s="172">
        <f>+L702</f>
        <v>0</v>
      </c>
      <c r="M728" s="172">
        <f>+M702</f>
        <v>2327000000</v>
      </c>
    </row>
    <row r="729" spans="2:13" x14ac:dyDescent="0.2">
      <c r="B729" s="16"/>
      <c r="C729" s="16"/>
      <c r="D729" s="16"/>
      <c r="E729" s="16"/>
      <c r="F729" s="16"/>
      <c r="G729" s="16"/>
      <c r="H729" s="45"/>
      <c r="I729" s="67"/>
      <c r="J729" s="68"/>
      <c r="K729" s="173"/>
      <c r="L729" s="95"/>
      <c r="M729" s="95"/>
    </row>
    <row r="730" spans="2:13" ht="15" x14ac:dyDescent="0.25">
      <c r="B730" s="16"/>
      <c r="C730" s="16"/>
      <c r="D730" s="16"/>
      <c r="E730" s="16"/>
      <c r="F730" s="16"/>
      <c r="G730" s="16"/>
      <c r="H730" s="75" t="s">
        <v>884</v>
      </c>
      <c r="I730" s="191"/>
      <c r="J730" s="75"/>
      <c r="K730" s="166"/>
      <c r="L730" s="76"/>
      <c r="M730" s="76"/>
    </row>
    <row r="731" spans="2:13" ht="15" x14ac:dyDescent="0.25">
      <c r="B731" s="16"/>
      <c r="C731" s="16"/>
      <c r="D731" s="16"/>
      <c r="E731" s="16"/>
      <c r="F731" s="16"/>
      <c r="G731" s="16"/>
      <c r="H731" s="75" t="s">
        <v>885</v>
      </c>
      <c r="I731" s="191"/>
      <c r="J731" s="75"/>
      <c r="K731" s="166"/>
      <c r="L731" s="76"/>
      <c r="M731" s="76"/>
    </row>
    <row r="732" spans="2:13" ht="15" x14ac:dyDescent="0.2">
      <c r="B732" s="16"/>
      <c r="C732" s="16"/>
      <c r="D732" s="16"/>
      <c r="E732" s="16"/>
      <c r="F732" s="16"/>
      <c r="G732" s="16"/>
      <c r="H732" s="55" t="s">
        <v>778</v>
      </c>
      <c r="I732" s="56"/>
      <c r="J732" s="32" t="s">
        <v>779</v>
      </c>
      <c r="K732" s="161"/>
      <c r="L732" s="57"/>
      <c r="M732" s="57"/>
    </row>
    <row r="733" spans="2:13" ht="15" x14ac:dyDescent="0.25">
      <c r="B733" s="16"/>
      <c r="C733" s="16"/>
      <c r="D733" s="16"/>
      <c r="E733" s="16"/>
      <c r="F733" s="16"/>
      <c r="G733" s="16"/>
      <c r="H733" s="96" t="s">
        <v>886</v>
      </c>
      <c r="I733" s="97"/>
      <c r="J733" s="98" t="s">
        <v>768</v>
      </c>
      <c r="K733" s="174">
        <f>+K734+K748</f>
        <v>9955331400</v>
      </c>
      <c r="L733" s="174">
        <f>+L734+L748</f>
        <v>0</v>
      </c>
      <c r="M733" s="174">
        <f>+M734+M748</f>
        <v>9955331400</v>
      </c>
    </row>
    <row r="734" spans="2:13" ht="15" x14ac:dyDescent="0.25">
      <c r="B734" s="16"/>
      <c r="C734" s="16"/>
      <c r="D734" s="16"/>
      <c r="E734" s="16"/>
      <c r="F734" s="16"/>
      <c r="G734" s="16"/>
      <c r="H734" s="96" t="s">
        <v>809</v>
      </c>
      <c r="I734" s="97"/>
      <c r="J734" s="98" t="s">
        <v>769</v>
      </c>
      <c r="K734" s="174">
        <f>+K735</f>
        <v>9937331400</v>
      </c>
      <c r="L734" s="174">
        <f>+L735</f>
        <v>0</v>
      </c>
      <c r="M734" s="174">
        <f>+M735</f>
        <v>9937331400</v>
      </c>
    </row>
    <row r="735" spans="2:13" ht="15" x14ac:dyDescent="0.25">
      <c r="B735" s="16"/>
      <c r="C735" s="16"/>
      <c r="D735" s="16"/>
      <c r="E735" s="16"/>
      <c r="F735" s="16"/>
      <c r="G735" s="16"/>
      <c r="H735" s="96" t="s">
        <v>810</v>
      </c>
      <c r="I735" s="97"/>
      <c r="J735" s="98" t="s">
        <v>770</v>
      </c>
      <c r="K735" s="174">
        <f>+K736+K745</f>
        <v>9937331400</v>
      </c>
      <c r="L735" s="174">
        <f>+L736+L745</f>
        <v>0</v>
      </c>
      <c r="M735" s="174">
        <f>+M736+M745</f>
        <v>9937331400</v>
      </c>
    </row>
    <row r="736" spans="2:13" ht="15" x14ac:dyDescent="0.25">
      <c r="B736" s="16"/>
      <c r="C736" s="16"/>
      <c r="D736" s="16"/>
      <c r="E736" s="16"/>
      <c r="F736" s="16"/>
      <c r="G736" s="16"/>
      <c r="H736" s="96" t="s">
        <v>887</v>
      </c>
      <c r="I736" s="97"/>
      <c r="J736" s="98" t="s">
        <v>888</v>
      </c>
      <c r="K736" s="174">
        <f>+K737</f>
        <v>8957331400</v>
      </c>
      <c r="L736" s="174">
        <f>+L737</f>
        <v>0</v>
      </c>
      <c r="M736" s="174">
        <f>+M737</f>
        <v>8957331400</v>
      </c>
    </row>
    <row r="737" spans="2:13" ht="15" x14ac:dyDescent="0.25">
      <c r="B737" s="16"/>
      <c r="C737" s="16"/>
      <c r="D737" s="16"/>
      <c r="E737" s="16"/>
      <c r="F737" s="16"/>
      <c r="G737" s="16"/>
      <c r="H737" s="96" t="s">
        <v>889</v>
      </c>
      <c r="I737" s="97"/>
      <c r="J737" s="98" t="s">
        <v>890</v>
      </c>
      <c r="K737" s="174">
        <f>SUM(K738:K744)</f>
        <v>8957331400</v>
      </c>
      <c r="L737" s="174">
        <f>SUM(L738:L744)</f>
        <v>0</v>
      </c>
      <c r="M737" s="174">
        <f>SUM(M738:M744)</f>
        <v>8957331400</v>
      </c>
    </row>
    <row r="738" spans="2:13" x14ac:dyDescent="0.2">
      <c r="B738" s="16" t="s">
        <v>1003</v>
      </c>
      <c r="C738" s="16" t="s">
        <v>1037</v>
      </c>
      <c r="D738" s="46" t="s">
        <v>1051</v>
      </c>
      <c r="E738" s="16" t="s">
        <v>1015</v>
      </c>
      <c r="F738" s="16" t="s">
        <v>1022</v>
      </c>
      <c r="G738" s="16" t="s">
        <v>1025</v>
      </c>
      <c r="H738" s="100" t="s">
        <v>891</v>
      </c>
      <c r="I738" s="97">
        <v>300</v>
      </c>
      <c r="J738" s="145" t="s">
        <v>892</v>
      </c>
      <c r="K738" s="146">
        <v>465571200</v>
      </c>
      <c r="L738" s="146">
        <v>0</v>
      </c>
      <c r="M738" s="126">
        <f>+Tabla134[[#This Row],[PF AJUSTE 1]]+Tabla134[[#This Row],[AJUSTE 2]]</f>
        <v>465571200</v>
      </c>
    </row>
    <row r="739" spans="2:13" x14ac:dyDescent="0.2">
      <c r="B739" s="16" t="s">
        <v>1003</v>
      </c>
      <c r="C739" s="16" t="s">
        <v>1037</v>
      </c>
      <c r="D739" s="46" t="s">
        <v>1051</v>
      </c>
      <c r="E739" s="16" t="s">
        <v>1015</v>
      </c>
      <c r="F739" s="16" t="s">
        <v>1022</v>
      </c>
      <c r="G739" s="16" t="s">
        <v>1025</v>
      </c>
      <c r="H739" s="100" t="s">
        <v>893</v>
      </c>
      <c r="I739" s="97">
        <v>300</v>
      </c>
      <c r="J739" s="101" t="s">
        <v>894</v>
      </c>
      <c r="K739" s="102">
        <v>147426000</v>
      </c>
      <c r="L739" s="102">
        <v>0</v>
      </c>
      <c r="M739" s="126">
        <f>+Tabla134[[#This Row],[PF AJUSTE 1]]+Tabla134[[#This Row],[AJUSTE 2]]</f>
        <v>147426000</v>
      </c>
    </row>
    <row r="740" spans="2:13" x14ac:dyDescent="0.2">
      <c r="B740" s="16" t="s">
        <v>1003</v>
      </c>
      <c r="C740" s="16" t="s">
        <v>1037</v>
      </c>
      <c r="D740" s="46" t="s">
        <v>1051</v>
      </c>
      <c r="E740" s="16" t="s">
        <v>1015</v>
      </c>
      <c r="F740" s="16" t="s">
        <v>1022</v>
      </c>
      <c r="G740" s="16" t="s">
        <v>1025</v>
      </c>
      <c r="H740" s="100" t="s">
        <v>895</v>
      </c>
      <c r="I740" s="97">
        <v>300</v>
      </c>
      <c r="J740" s="101" t="s">
        <v>896</v>
      </c>
      <c r="K740" s="102">
        <v>833166600</v>
      </c>
      <c r="L740" s="102">
        <v>0</v>
      </c>
      <c r="M740" s="126">
        <f>+Tabla134[[#This Row],[PF AJUSTE 1]]+Tabla134[[#This Row],[AJUSTE 2]]</f>
        <v>833166600</v>
      </c>
    </row>
    <row r="741" spans="2:13" x14ac:dyDescent="0.2">
      <c r="B741" s="16" t="s">
        <v>1003</v>
      </c>
      <c r="C741" s="16" t="s">
        <v>1037</v>
      </c>
      <c r="D741" s="46" t="s">
        <v>1051</v>
      </c>
      <c r="E741" s="16" t="s">
        <v>1015</v>
      </c>
      <c r="F741" s="16" t="s">
        <v>1022</v>
      </c>
      <c r="G741" s="16" t="s">
        <v>1025</v>
      </c>
      <c r="H741" s="100" t="s">
        <v>897</v>
      </c>
      <c r="I741" s="97">
        <v>300</v>
      </c>
      <c r="J741" s="101" t="s">
        <v>898</v>
      </c>
      <c r="K741" s="102">
        <v>646526000</v>
      </c>
      <c r="L741" s="102">
        <v>0</v>
      </c>
      <c r="M741" s="126">
        <f>+Tabla134[[#This Row],[PF AJUSTE 1]]+Tabla134[[#This Row],[AJUSTE 2]]</f>
        <v>646526000</v>
      </c>
    </row>
    <row r="742" spans="2:13" x14ac:dyDescent="0.2">
      <c r="B742" s="16" t="s">
        <v>1003</v>
      </c>
      <c r="C742" s="16" t="s">
        <v>1037</v>
      </c>
      <c r="D742" s="46" t="s">
        <v>1051</v>
      </c>
      <c r="E742" s="16" t="s">
        <v>1015</v>
      </c>
      <c r="F742" s="16" t="s">
        <v>1022</v>
      </c>
      <c r="G742" s="16" t="s">
        <v>1025</v>
      </c>
      <c r="H742" s="100" t="s">
        <v>899</v>
      </c>
      <c r="I742" s="97">
        <v>300</v>
      </c>
      <c r="J742" s="101" t="s">
        <v>900</v>
      </c>
      <c r="K742" s="102">
        <v>83535300</v>
      </c>
      <c r="L742" s="102">
        <v>0</v>
      </c>
      <c r="M742" s="126">
        <f>+Tabla134[[#This Row],[PF AJUSTE 1]]+Tabla134[[#This Row],[AJUSTE 2]]</f>
        <v>83535300</v>
      </c>
    </row>
    <row r="743" spans="2:13" x14ac:dyDescent="0.2">
      <c r="B743" s="16" t="s">
        <v>1003</v>
      </c>
      <c r="C743" s="16" t="s">
        <v>1037</v>
      </c>
      <c r="D743" s="46" t="s">
        <v>1051</v>
      </c>
      <c r="E743" s="16" t="s">
        <v>1015</v>
      </c>
      <c r="F743" s="16" t="s">
        <v>1022</v>
      </c>
      <c r="G743" s="16" t="s">
        <v>1025</v>
      </c>
      <c r="H743" s="100" t="s">
        <v>901</v>
      </c>
      <c r="I743" s="97">
        <v>300</v>
      </c>
      <c r="J743" s="101" t="s">
        <v>902</v>
      </c>
      <c r="K743" s="102">
        <v>2762000</v>
      </c>
      <c r="L743" s="102">
        <v>0</v>
      </c>
      <c r="M743" s="126">
        <f>+Tabla134[[#This Row],[PF AJUSTE 1]]+Tabla134[[#This Row],[AJUSTE 2]]</f>
        <v>2762000</v>
      </c>
    </row>
    <row r="744" spans="2:13" x14ac:dyDescent="0.2">
      <c r="B744" s="16" t="s">
        <v>1003</v>
      </c>
      <c r="C744" s="16" t="s">
        <v>1037</v>
      </c>
      <c r="D744" s="46" t="s">
        <v>1051</v>
      </c>
      <c r="E744" s="16" t="s">
        <v>1015</v>
      </c>
      <c r="F744" s="16" t="s">
        <v>1022</v>
      </c>
      <c r="G744" s="16" t="s">
        <v>1025</v>
      </c>
      <c r="H744" s="100" t="s">
        <v>903</v>
      </c>
      <c r="I744" s="97">
        <v>300</v>
      </c>
      <c r="J744" s="101" t="s">
        <v>904</v>
      </c>
      <c r="K744" s="102">
        <v>6778344300</v>
      </c>
      <c r="L744" s="102">
        <v>0</v>
      </c>
      <c r="M744" s="126">
        <f>+Tabla134[[#This Row],[PF AJUSTE 1]]+Tabla134[[#This Row],[AJUSTE 2]]</f>
        <v>6778344300</v>
      </c>
    </row>
    <row r="745" spans="2:13" ht="15" x14ac:dyDescent="0.25">
      <c r="B745" s="16"/>
      <c r="C745" s="16"/>
      <c r="D745" s="16"/>
      <c r="E745" s="16"/>
      <c r="F745" s="16"/>
      <c r="G745" s="16"/>
      <c r="H745" s="96" t="s">
        <v>905</v>
      </c>
      <c r="I745" s="97"/>
      <c r="J745" s="104" t="s">
        <v>906</v>
      </c>
      <c r="K745" s="175">
        <f t="shared" ref="K745:M746" si="288">+K746</f>
        <v>980000000</v>
      </c>
      <c r="L745" s="175">
        <f t="shared" si="288"/>
        <v>0</v>
      </c>
      <c r="M745" s="175">
        <f t="shared" si="288"/>
        <v>980000000</v>
      </c>
    </row>
    <row r="746" spans="2:13" ht="15" x14ac:dyDescent="0.25">
      <c r="B746" s="16"/>
      <c r="C746" s="16"/>
      <c r="D746" s="16"/>
      <c r="E746" s="16"/>
      <c r="F746" s="16"/>
      <c r="G746" s="16"/>
      <c r="H746" s="96" t="s">
        <v>907</v>
      </c>
      <c r="I746" s="97"/>
      <c r="J746" s="104" t="s">
        <v>908</v>
      </c>
      <c r="K746" s="175">
        <f t="shared" si="288"/>
        <v>980000000</v>
      </c>
      <c r="L746" s="175">
        <f t="shared" si="288"/>
        <v>0</v>
      </c>
      <c r="M746" s="175">
        <f t="shared" si="288"/>
        <v>980000000</v>
      </c>
    </row>
    <row r="747" spans="2:13" x14ac:dyDescent="0.2">
      <c r="B747" s="16" t="s">
        <v>1003</v>
      </c>
      <c r="C747" s="16" t="s">
        <v>1037</v>
      </c>
      <c r="D747" s="46" t="s">
        <v>1051</v>
      </c>
      <c r="E747" s="16" t="s">
        <v>1015</v>
      </c>
      <c r="F747" s="16" t="s">
        <v>1022</v>
      </c>
      <c r="G747" s="16" t="s">
        <v>1025</v>
      </c>
      <c r="H747" s="100" t="s">
        <v>909</v>
      </c>
      <c r="I747" s="97">
        <v>300</v>
      </c>
      <c r="J747" s="101" t="s">
        <v>910</v>
      </c>
      <c r="K747" s="102">
        <v>980000000</v>
      </c>
      <c r="L747" s="102">
        <v>0</v>
      </c>
      <c r="M747" s="126">
        <f>+Tabla134[[#This Row],[PF AJUSTE 1]]+Tabla134[[#This Row],[AJUSTE 2]]</f>
        <v>980000000</v>
      </c>
    </row>
    <row r="748" spans="2:13" ht="15" x14ac:dyDescent="0.25">
      <c r="B748" s="16"/>
      <c r="C748" s="16"/>
      <c r="D748" s="16"/>
      <c r="E748" s="16"/>
      <c r="F748" s="16"/>
      <c r="G748" s="16"/>
      <c r="H748" s="96" t="s">
        <v>831</v>
      </c>
      <c r="I748" s="97"/>
      <c r="J748" s="104" t="s">
        <v>771</v>
      </c>
      <c r="K748" s="175">
        <f>+K749+K751</f>
        <v>18000000</v>
      </c>
      <c r="L748" s="175">
        <f>+L749+L751</f>
        <v>0</v>
      </c>
      <c r="M748" s="175">
        <f>+M749+M751</f>
        <v>18000000</v>
      </c>
    </row>
    <row r="749" spans="2:13" ht="15" x14ac:dyDescent="0.25">
      <c r="B749" s="16"/>
      <c r="C749" s="16"/>
      <c r="D749" s="16"/>
      <c r="E749" s="16"/>
      <c r="F749" s="16"/>
      <c r="G749" s="16"/>
      <c r="H749" s="96" t="s">
        <v>832</v>
      </c>
      <c r="I749" s="97"/>
      <c r="J749" s="104" t="s">
        <v>932</v>
      </c>
      <c r="K749" s="175">
        <f>+K750</f>
        <v>18000000</v>
      </c>
      <c r="L749" s="175">
        <f>+L750</f>
        <v>0</v>
      </c>
      <c r="M749" s="175">
        <f>+M750</f>
        <v>18000000</v>
      </c>
    </row>
    <row r="750" spans="2:13" x14ac:dyDescent="0.2">
      <c r="B750" s="16" t="s">
        <v>1003</v>
      </c>
      <c r="C750" s="16" t="s">
        <v>1037</v>
      </c>
      <c r="D750" s="46" t="s">
        <v>1051</v>
      </c>
      <c r="E750" s="16" t="s">
        <v>1015</v>
      </c>
      <c r="F750" s="16" t="s">
        <v>1023</v>
      </c>
      <c r="G750" s="16" t="s">
        <v>1028</v>
      </c>
      <c r="H750" s="100" t="s">
        <v>846</v>
      </c>
      <c r="I750" s="97">
        <v>300</v>
      </c>
      <c r="J750" s="101" t="s">
        <v>242</v>
      </c>
      <c r="K750" s="102">
        <v>18000000</v>
      </c>
      <c r="L750" s="102">
        <v>0</v>
      </c>
      <c r="M750" s="126">
        <f>+Tabla134[[#This Row],[PF AJUSTE 1]]+Tabla134[[#This Row],[AJUSTE 2]]</f>
        <v>18000000</v>
      </c>
    </row>
    <row r="751" spans="2:13" ht="15" x14ac:dyDescent="0.2">
      <c r="B751" s="16"/>
      <c r="C751" s="16"/>
      <c r="D751" s="46"/>
      <c r="E751" s="16"/>
      <c r="F751" s="16"/>
      <c r="G751" s="16"/>
      <c r="H751" s="58" t="s">
        <v>840</v>
      </c>
      <c r="I751" s="63"/>
      <c r="J751" s="60" t="s">
        <v>841</v>
      </c>
      <c r="K751" s="157">
        <f>+K752+K753</f>
        <v>0</v>
      </c>
      <c r="L751" s="157">
        <f>+L752+L753</f>
        <v>0</v>
      </c>
      <c r="M751" s="157">
        <f>+M752+M753</f>
        <v>0</v>
      </c>
    </row>
    <row r="752" spans="2:13" x14ac:dyDescent="0.2">
      <c r="B752" s="16" t="s">
        <v>1003</v>
      </c>
      <c r="C752" s="16" t="s">
        <v>1037</v>
      </c>
      <c r="D752" s="46" t="s">
        <v>1051</v>
      </c>
      <c r="E752" s="16" t="s">
        <v>1016</v>
      </c>
      <c r="F752" s="16" t="s">
        <v>1023</v>
      </c>
      <c r="G752" s="16" t="s">
        <v>1029</v>
      </c>
      <c r="H752" s="62" t="s">
        <v>842</v>
      </c>
      <c r="I752" s="85" t="s">
        <v>877</v>
      </c>
      <c r="J752" s="64" t="s">
        <v>843</v>
      </c>
      <c r="K752" s="23"/>
      <c r="L752" s="23"/>
      <c r="M752" s="126">
        <f>+Tabla134[[#This Row],[PF AJUSTE 1]]+Tabla134[[#This Row],[AJUSTE 2]]</f>
        <v>0</v>
      </c>
    </row>
    <row r="753" spans="2:13" x14ac:dyDescent="0.2">
      <c r="B753" s="16" t="s">
        <v>1003</v>
      </c>
      <c r="C753" s="16" t="s">
        <v>1037</v>
      </c>
      <c r="D753" s="46" t="s">
        <v>1051</v>
      </c>
      <c r="E753" s="16" t="s">
        <v>1016</v>
      </c>
      <c r="F753" s="16" t="s">
        <v>1023</v>
      </c>
      <c r="G753" s="16" t="s">
        <v>1030</v>
      </c>
      <c r="H753" s="45" t="s">
        <v>844</v>
      </c>
      <c r="I753" s="85" t="s">
        <v>877</v>
      </c>
      <c r="J753" s="68" t="s">
        <v>845</v>
      </c>
      <c r="K753" s="23"/>
      <c r="L753" s="23"/>
      <c r="M753" s="126">
        <f>+Tabla134[[#This Row],[PF AJUSTE 1]]+Tabla134[[#This Row],[AJUSTE 2]]</f>
        <v>0</v>
      </c>
    </row>
    <row r="754" spans="2:13" x14ac:dyDescent="0.2">
      <c r="B754" s="16"/>
      <c r="C754" s="16"/>
      <c r="D754" s="46"/>
      <c r="E754" s="16"/>
      <c r="F754" s="16"/>
      <c r="G754" s="16"/>
      <c r="H754" s="100"/>
      <c r="I754" s="97"/>
      <c r="J754" s="101"/>
      <c r="K754" s="102"/>
      <c r="L754" s="102"/>
      <c r="M754" s="102"/>
    </row>
    <row r="755" spans="2:13" ht="15" x14ac:dyDescent="0.25">
      <c r="B755" s="16"/>
      <c r="C755" s="16"/>
      <c r="D755" s="16"/>
      <c r="E755" s="16"/>
      <c r="F755" s="16"/>
      <c r="G755" s="16"/>
      <c r="H755" s="106" t="s">
        <v>911</v>
      </c>
      <c r="I755" s="193"/>
      <c r="J755" s="106"/>
      <c r="K755" s="167">
        <f>+K733</f>
        <v>9955331400</v>
      </c>
      <c r="L755" s="167">
        <f>+L733</f>
        <v>0</v>
      </c>
      <c r="M755" s="167">
        <f>+M733</f>
        <v>9955331400</v>
      </c>
    </row>
    <row r="756" spans="2:13" ht="15" x14ac:dyDescent="0.25">
      <c r="B756" s="16"/>
      <c r="C756" s="16"/>
      <c r="D756" s="16"/>
      <c r="E756" s="16"/>
      <c r="F756" s="16"/>
      <c r="G756" s="16"/>
      <c r="H756" s="45"/>
      <c r="I756" s="67"/>
      <c r="J756" s="107"/>
      <c r="K756" s="167"/>
      <c r="L756" s="79"/>
      <c r="M756" s="79"/>
    </row>
    <row r="757" spans="2:13" ht="15" x14ac:dyDescent="0.25">
      <c r="B757" s="16"/>
      <c r="C757" s="16"/>
      <c r="D757" s="16"/>
      <c r="E757" s="16"/>
      <c r="F757" s="16"/>
      <c r="G757" s="16"/>
      <c r="H757" s="75" t="s">
        <v>912</v>
      </c>
      <c r="I757" s="191"/>
      <c r="J757" s="75"/>
      <c r="K757" s="166"/>
      <c r="L757" s="76"/>
      <c r="M757" s="76"/>
    </row>
    <row r="758" spans="2:13" ht="15" x14ac:dyDescent="0.25">
      <c r="B758" s="16"/>
      <c r="C758" s="16"/>
      <c r="D758" s="16"/>
      <c r="E758" s="16"/>
      <c r="F758" s="16"/>
      <c r="G758" s="16"/>
      <c r="H758" s="75" t="s">
        <v>913</v>
      </c>
      <c r="I758" s="191"/>
      <c r="J758" s="75"/>
      <c r="K758" s="166"/>
      <c r="L758" s="76"/>
      <c r="M758" s="76"/>
    </row>
    <row r="759" spans="2:13" ht="15" x14ac:dyDescent="0.2">
      <c r="B759" s="16"/>
      <c r="C759" s="16"/>
      <c r="D759" s="16"/>
      <c r="E759" s="16"/>
      <c r="F759" s="16"/>
      <c r="G759" s="16"/>
      <c r="H759" s="55" t="s">
        <v>778</v>
      </c>
      <c r="I759" s="56"/>
      <c r="J759" s="32" t="s">
        <v>779</v>
      </c>
      <c r="K759" s="161"/>
      <c r="L759" s="57"/>
      <c r="M759" s="57"/>
    </row>
    <row r="760" spans="2:13" ht="15" x14ac:dyDescent="0.25">
      <c r="B760" s="16"/>
      <c r="C760" s="16"/>
      <c r="D760" s="16"/>
      <c r="E760" s="16"/>
      <c r="F760" s="16"/>
      <c r="G760" s="16"/>
      <c r="H760" s="108">
        <v>1</v>
      </c>
      <c r="I760" s="67"/>
      <c r="J760" s="107" t="s">
        <v>984</v>
      </c>
      <c r="K760" s="167">
        <f>+K761+K766</f>
        <v>4006372500</v>
      </c>
      <c r="L760" s="167">
        <f>+L761+L766</f>
        <v>0</v>
      </c>
      <c r="M760" s="167">
        <f>+M761+M766</f>
        <v>4006372500</v>
      </c>
    </row>
    <row r="761" spans="2:13" ht="15" x14ac:dyDescent="0.25">
      <c r="B761" s="16"/>
      <c r="C761" s="16"/>
      <c r="D761" s="16"/>
      <c r="E761" s="16"/>
      <c r="F761" s="16"/>
      <c r="G761" s="16"/>
      <c r="H761" s="108" t="s">
        <v>809</v>
      </c>
      <c r="I761" s="67"/>
      <c r="J761" s="107" t="s">
        <v>769</v>
      </c>
      <c r="K761" s="167">
        <f t="shared" ref="K761:M763" si="289">+K762</f>
        <v>4006172500</v>
      </c>
      <c r="L761" s="167">
        <f t="shared" si="289"/>
        <v>0</v>
      </c>
      <c r="M761" s="167">
        <f t="shared" si="289"/>
        <v>4006172500</v>
      </c>
    </row>
    <row r="762" spans="2:13" ht="15" x14ac:dyDescent="0.25">
      <c r="B762" s="16"/>
      <c r="C762" s="16"/>
      <c r="D762" s="16"/>
      <c r="E762" s="16"/>
      <c r="F762" s="16"/>
      <c r="G762" s="16"/>
      <c r="H762" s="108" t="s">
        <v>915</v>
      </c>
      <c r="I762" s="67"/>
      <c r="J762" s="107" t="s">
        <v>916</v>
      </c>
      <c r="K762" s="167">
        <f t="shared" si="289"/>
        <v>4006172500</v>
      </c>
      <c r="L762" s="167">
        <f t="shared" si="289"/>
        <v>0</v>
      </c>
      <c r="M762" s="167">
        <f t="shared" si="289"/>
        <v>4006172500</v>
      </c>
    </row>
    <row r="763" spans="2:13" ht="15" x14ac:dyDescent="0.25">
      <c r="B763" s="16"/>
      <c r="C763" s="16"/>
      <c r="D763" s="16"/>
      <c r="E763" s="16"/>
      <c r="F763" s="16"/>
      <c r="G763" s="16"/>
      <c r="H763" s="108" t="s">
        <v>811</v>
      </c>
      <c r="I763" s="67"/>
      <c r="J763" s="107" t="s">
        <v>917</v>
      </c>
      <c r="K763" s="167">
        <f t="shared" si="289"/>
        <v>4006172500</v>
      </c>
      <c r="L763" s="167">
        <f t="shared" si="289"/>
        <v>0</v>
      </c>
      <c r="M763" s="167">
        <f t="shared" si="289"/>
        <v>4006172500</v>
      </c>
    </row>
    <row r="764" spans="2:13" ht="15" x14ac:dyDescent="0.25">
      <c r="B764" s="16"/>
      <c r="C764" s="16"/>
      <c r="D764" s="16"/>
      <c r="E764" s="16"/>
      <c r="F764" s="16"/>
      <c r="G764" s="16"/>
      <c r="H764" s="108" t="s">
        <v>918</v>
      </c>
      <c r="I764" s="67"/>
      <c r="J764" s="107" t="s">
        <v>985</v>
      </c>
      <c r="K764" s="167">
        <f>+K765</f>
        <v>4006172500</v>
      </c>
      <c r="L764" s="167">
        <f>+L765</f>
        <v>0</v>
      </c>
      <c r="M764" s="167">
        <f>+M765</f>
        <v>4006172500</v>
      </c>
    </row>
    <row r="765" spans="2:13" x14ac:dyDescent="0.2">
      <c r="B765" s="16" t="s">
        <v>1003</v>
      </c>
      <c r="C765" s="16" t="s">
        <v>1038</v>
      </c>
      <c r="D765" s="46" t="s">
        <v>1051</v>
      </c>
      <c r="E765" s="16" t="s">
        <v>1015</v>
      </c>
      <c r="F765" s="16" t="s">
        <v>1022</v>
      </c>
      <c r="G765" s="16" t="s">
        <v>1025</v>
      </c>
      <c r="H765" s="109" t="s">
        <v>919</v>
      </c>
      <c r="I765" s="67">
        <v>400</v>
      </c>
      <c r="J765" s="68" t="s">
        <v>986</v>
      </c>
      <c r="K765" s="95">
        <v>4006172500</v>
      </c>
      <c r="L765" s="95">
        <v>0</v>
      </c>
      <c r="M765" s="126">
        <f>+Tabla134[[#This Row],[PF AJUSTE 1]]+Tabla134[[#This Row],[AJUSTE 2]]</f>
        <v>4006172500</v>
      </c>
    </row>
    <row r="766" spans="2:13" s="13" customFormat="1" ht="15" x14ac:dyDescent="0.25">
      <c r="B766" s="24"/>
      <c r="C766" s="24"/>
      <c r="D766" s="24"/>
      <c r="E766" s="24"/>
      <c r="F766" s="24"/>
      <c r="G766" s="24"/>
      <c r="H766" s="108" t="s">
        <v>831</v>
      </c>
      <c r="I766" s="184"/>
      <c r="J766" s="107" t="s">
        <v>771</v>
      </c>
      <c r="K766" s="167">
        <f>+K767+K769</f>
        <v>200000</v>
      </c>
      <c r="L766" s="167">
        <f>+L767+L769</f>
        <v>0</v>
      </c>
      <c r="M766" s="167">
        <f>+M767+M769</f>
        <v>200000</v>
      </c>
    </row>
    <row r="767" spans="2:13" s="13" customFormat="1" ht="15" x14ac:dyDescent="0.25">
      <c r="B767" s="24"/>
      <c r="C767" s="24"/>
      <c r="D767" s="24"/>
      <c r="E767" s="24"/>
      <c r="F767" s="24"/>
      <c r="G767" s="24"/>
      <c r="H767" s="108" t="s">
        <v>855</v>
      </c>
      <c r="I767" s="184"/>
      <c r="J767" s="107" t="s">
        <v>920</v>
      </c>
      <c r="K767" s="167">
        <f>+K768</f>
        <v>0</v>
      </c>
      <c r="L767" s="167">
        <f>+L768</f>
        <v>0</v>
      </c>
      <c r="M767" s="167">
        <f>+M768</f>
        <v>0</v>
      </c>
    </row>
    <row r="768" spans="2:13" x14ac:dyDescent="0.2">
      <c r="B768" s="16" t="s">
        <v>1003</v>
      </c>
      <c r="C768" s="16" t="s">
        <v>1038</v>
      </c>
      <c r="D768" s="46" t="s">
        <v>1051</v>
      </c>
      <c r="E768" s="16" t="s">
        <v>1015</v>
      </c>
      <c r="F768" s="16" t="s">
        <v>1023</v>
      </c>
      <c r="G768" s="16" t="s">
        <v>1026</v>
      </c>
      <c r="H768" s="109" t="s">
        <v>857</v>
      </c>
      <c r="I768" s="67">
        <v>400</v>
      </c>
      <c r="J768" s="68" t="s">
        <v>921</v>
      </c>
      <c r="K768" s="95">
        <v>0</v>
      </c>
      <c r="L768" s="95">
        <v>0</v>
      </c>
      <c r="M768" s="95">
        <v>0</v>
      </c>
    </row>
    <row r="769" spans="2:13" s="13" customFormat="1" ht="15" x14ac:dyDescent="0.25">
      <c r="B769" s="24"/>
      <c r="C769" s="24"/>
      <c r="D769" s="24"/>
      <c r="E769" s="24"/>
      <c r="F769" s="24"/>
      <c r="G769" s="24"/>
      <c r="H769" s="108" t="s">
        <v>832</v>
      </c>
      <c r="I769" s="184"/>
      <c r="J769" s="107" t="s">
        <v>772</v>
      </c>
      <c r="K769" s="167">
        <f>+K770</f>
        <v>200000</v>
      </c>
      <c r="L769" s="167">
        <f>+L770</f>
        <v>0</v>
      </c>
      <c r="M769" s="167">
        <f>+M770</f>
        <v>200000</v>
      </c>
    </row>
    <row r="770" spans="2:13" x14ac:dyDescent="0.2">
      <c r="B770" s="16" t="s">
        <v>1003</v>
      </c>
      <c r="C770" s="16" t="s">
        <v>1038</v>
      </c>
      <c r="D770" s="46" t="s">
        <v>1051</v>
      </c>
      <c r="E770" s="16" t="s">
        <v>1015</v>
      </c>
      <c r="F770" s="16" t="s">
        <v>1023</v>
      </c>
      <c r="G770" s="16" t="s">
        <v>1028</v>
      </c>
      <c r="H770" s="109" t="s">
        <v>846</v>
      </c>
      <c r="I770" s="67">
        <v>400</v>
      </c>
      <c r="J770" s="68" t="s">
        <v>242</v>
      </c>
      <c r="K770" s="95">
        <v>200000</v>
      </c>
      <c r="L770" s="95">
        <v>0</v>
      </c>
      <c r="M770" s="126">
        <f>+Tabla134[[#This Row],[PF AJUSTE 1]]+Tabla134[[#This Row],[AJUSTE 2]]</f>
        <v>200000</v>
      </c>
    </row>
    <row r="771" spans="2:13" ht="15" x14ac:dyDescent="0.25">
      <c r="B771" s="16"/>
      <c r="C771" s="16"/>
      <c r="D771" s="16"/>
      <c r="E771" s="16"/>
      <c r="F771" s="16"/>
      <c r="G771" s="16"/>
      <c r="H771" s="106" t="s">
        <v>922</v>
      </c>
      <c r="I771" s="193"/>
      <c r="J771" s="106"/>
      <c r="K771" s="167">
        <f>+K760</f>
        <v>4006372500</v>
      </c>
      <c r="L771" s="167">
        <f>+L760</f>
        <v>0</v>
      </c>
      <c r="M771" s="167">
        <f>+M760</f>
        <v>4006372500</v>
      </c>
    </row>
    <row r="772" spans="2:13" ht="15" x14ac:dyDescent="0.25">
      <c r="B772" s="16"/>
      <c r="C772" s="16"/>
      <c r="D772" s="16"/>
      <c r="E772" s="16"/>
      <c r="F772" s="16"/>
      <c r="G772" s="16"/>
      <c r="H772" s="45"/>
      <c r="I772" s="67"/>
      <c r="J772" s="107"/>
      <c r="K772" s="167"/>
      <c r="L772" s="79"/>
      <c r="M772" s="79"/>
    </row>
    <row r="773" spans="2:13" ht="15" x14ac:dyDescent="0.25">
      <c r="B773" s="16"/>
      <c r="C773" s="16"/>
      <c r="D773" s="16"/>
      <c r="E773" s="16"/>
      <c r="F773" s="16"/>
      <c r="G773" s="16"/>
      <c r="H773" s="75" t="s">
        <v>923</v>
      </c>
      <c r="I773" s="191"/>
      <c r="J773" s="75"/>
      <c r="K773" s="166"/>
      <c r="L773" s="76"/>
      <c r="M773" s="76"/>
    </row>
    <row r="774" spans="2:13" ht="15" x14ac:dyDescent="0.25">
      <c r="B774" s="16"/>
      <c r="C774" s="16"/>
      <c r="D774" s="16"/>
      <c r="E774" s="16"/>
      <c r="F774" s="16"/>
      <c r="G774" s="16"/>
      <c r="H774" s="75" t="s">
        <v>924</v>
      </c>
      <c r="I774" s="191"/>
      <c r="J774" s="75"/>
      <c r="K774" s="166"/>
      <c r="L774" s="76"/>
      <c r="M774" s="76"/>
    </row>
    <row r="775" spans="2:13" ht="15" x14ac:dyDescent="0.2">
      <c r="B775" s="16"/>
      <c r="C775" s="16"/>
      <c r="D775" s="16"/>
      <c r="E775" s="16"/>
      <c r="F775" s="16"/>
      <c r="G775" s="16"/>
      <c r="H775" s="55" t="s">
        <v>778</v>
      </c>
      <c r="I775" s="56"/>
      <c r="J775" s="32" t="s">
        <v>779</v>
      </c>
      <c r="K775" s="161"/>
      <c r="L775" s="57"/>
      <c r="M775" s="57"/>
    </row>
    <row r="776" spans="2:13" ht="15" x14ac:dyDescent="0.25">
      <c r="B776" s="16"/>
      <c r="C776" s="16"/>
      <c r="D776" s="16"/>
      <c r="E776" s="16"/>
      <c r="F776" s="16"/>
      <c r="G776" s="16"/>
      <c r="H776" s="110" t="s">
        <v>886</v>
      </c>
      <c r="I776" s="67"/>
      <c r="J776" s="111" t="s">
        <v>768</v>
      </c>
      <c r="K776" s="196">
        <f>+K777+K789</f>
        <v>0</v>
      </c>
      <c r="L776" s="196">
        <f t="shared" ref="L776:M776" si="290">+L777+L789</f>
        <v>0</v>
      </c>
      <c r="M776" s="196">
        <f t="shared" si="290"/>
        <v>0</v>
      </c>
    </row>
    <row r="777" spans="2:13" ht="15" x14ac:dyDescent="0.25">
      <c r="B777" s="16"/>
      <c r="C777" s="16"/>
      <c r="D777" s="16"/>
      <c r="E777" s="16"/>
      <c r="F777" s="16"/>
      <c r="G777" s="16"/>
      <c r="H777" s="110" t="s">
        <v>809</v>
      </c>
      <c r="I777" s="67"/>
      <c r="J777" s="111" t="s">
        <v>3</v>
      </c>
      <c r="K777" s="196">
        <f t="shared" ref="K777:M779" si="291">+K778</f>
        <v>0</v>
      </c>
      <c r="L777" s="196">
        <f t="shared" si="291"/>
        <v>0</v>
      </c>
      <c r="M777" s="196">
        <f t="shared" si="291"/>
        <v>0</v>
      </c>
    </row>
    <row r="778" spans="2:13" ht="15" x14ac:dyDescent="0.25">
      <c r="B778" s="16"/>
      <c r="C778" s="16"/>
      <c r="D778" s="16"/>
      <c r="E778" s="16"/>
      <c r="F778" s="16"/>
      <c r="G778" s="16"/>
      <c r="H778" s="110" t="s">
        <v>810</v>
      </c>
      <c r="I778" s="67"/>
      <c r="J778" s="111" t="s">
        <v>289</v>
      </c>
      <c r="K778" s="196">
        <f t="shared" si="291"/>
        <v>0</v>
      </c>
      <c r="L778" s="196">
        <f t="shared" si="291"/>
        <v>0</v>
      </c>
      <c r="M778" s="196">
        <f t="shared" si="291"/>
        <v>0</v>
      </c>
    </row>
    <row r="779" spans="2:13" s="13" customFormat="1" ht="15" x14ac:dyDescent="0.25">
      <c r="B779" s="24"/>
      <c r="C779" s="24"/>
      <c r="D779" s="24"/>
      <c r="E779" s="24"/>
      <c r="F779" s="24"/>
      <c r="G779" s="24"/>
      <c r="H779" s="110" t="s">
        <v>811</v>
      </c>
      <c r="I779" s="184"/>
      <c r="J779" s="111" t="s">
        <v>112</v>
      </c>
      <c r="K779" s="196">
        <f>+K780</f>
        <v>0</v>
      </c>
      <c r="L779" s="196">
        <f t="shared" si="291"/>
        <v>0</v>
      </c>
      <c r="M779" s="196">
        <f t="shared" si="291"/>
        <v>0</v>
      </c>
    </row>
    <row r="780" spans="2:13" x14ac:dyDescent="0.2">
      <c r="B780" s="16"/>
      <c r="C780" s="16"/>
      <c r="D780" s="16"/>
      <c r="E780" s="16"/>
      <c r="F780" s="16"/>
      <c r="G780" s="16"/>
      <c r="H780" s="113" t="s">
        <v>813</v>
      </c>
      <c r="I780" s="67"/>
      <c r="J780" s="114" t="s">
        <v>114</v>
      </c>
      <c r="K780" s="176">
        <f>+K781+K782</f>
        <v>0</v>
      </c>
      <c r="L780" s="176">
        <f t="shared" ref="L780:M780" si="292">+L781+L782</f>
        <v>0</v>
      </c>
      <c r="M780" s="176">
        <f t="shared" si="292"/>
        <v>0</v>
      </c>
    </row>
    <row r="781" spans="2:13" ht="28.5" x14ac:dyDescent="0.2">
      <c r="B781" s="16" t="s">
        <v>1003</v>
      </c>
      <c r="C781" s="16" t="s">
        <v>1039</v>
      </c>
      <c r="D781" s="46" t="s">
        <v>1051</v>
      </c>
      <c r="E781" s="16" t="s">
        <v>1014</v>
      </c>
      <c r="F781" s="16" t="s">
        <v>1022</v>
      </c>
      <c r="G781" s="16" t="s">
        <v>1025</v>
      </c>
      <c r="H781" s="113" t="s">
        <v>925</v>
      </c>
      <c r="I781" s="67">
        <v>600</v>
      </c>
      <c r="J781" s="114" t="s">
        <v>987</v>
      </c>
      <c r="K781" s="112">
        <v>0</v>
      </c>
      <c r="L781" s="112">
        <v>0</v>
      </c>
      <c r="M781" s="126">
        <f>+Tabla134[[#This Row],[PF AJUSTE 1]]+Tabla134[[#This Row],[AJUSTE 2]]</f>
        <v>0</v>
      </c>
    </row>
    <row r="782" spans="2:13" x14ac:dyDescent="0.2">
      <c r="B782" s="16" t="s">
        <v>1003</v>
      </c>
      <c r="C782" s="16" t="s">
        <v>1039</v>
      </c>
      <c r="D782" s="46" t="s">
        <v>1051</v>
      </c>
      <c r="E782" s="16" t="s">
        <v>1014</v>
      </c>
      <c r="F782" s="16" t="s">
        <v>1022</v>
      </c>
      <c r="G782" s="16" t="s">
        <v>1025</v>
      </c>
      <c r="H782" s="113" t="s">
        <v>926</v>
      </c>
      <c r="I782" s="67">
        <v>600</v>
      </c>
      <c r="J782" s="114" t="s">
        <v>927</v>
      </c>
      <c r="K782" s="112">
        <v>0</v>
      </c>
      <c r="L782" s="112">
        <v>0</v>
      </c>
      <c r="M782" s="126">
        <f>+Tabla134[[#This Row],[PF AJUSTE 1]]+Tabla134[[#This Row],[AJUSTE 2]]</f>
        <v>0</v>
      </c>
    </row>
    <row r="783" spans="2:13" s="13" customFormat="1" ht="15" x14ac:dyDescent="0.25">
      <c r="B783" s="24"/>
      <c r="C783" s="24"/>
      <c r="D783" s="24"/>
      <c r="E783" s="24"/>
      <c r="F783" s="24"/>
      <c r="G783" s="24"/>
      <c r="H783" s="110" t="s">
        <v>817</v>
      </c>
      <c r="I783" s="184"/>
      <c r="J783" s="111" t="s">
        <v>928</v>
      </c>
      <c r="K783" s="196">
        <f>+K784</f>
        <v>0</v>
      </c>
      <c r="L783" s="196">
        <f t="shared" ref="L783:M785" si="293">+L784</f>
        <v>0</v>
      </c>
      <c r="M783" s="196">
        <f t="shared" si="293"/>
        <v>0</v>
      </c>
    </row>
    <row r="784" spans="2:13" x14ac:dyDescent="0.2">
      <c r="B784" s="16"/>
      <c r="C784" s="16"/>
      <c r="D784" s="16"/>
      <c r="E784" s="16"/>
      <c r="F784" s="16"/>
      <c r="G784" s="16"/>
      <c r="H784" s="113" t="s">
        <v>819</v>
      </c>
      <c r="I784" s="67"/>
      <c r="J784" s="114" t="s">
        <v>181</v>
      </c>
      <c r="K784" s="176">
        <f>+K785</f>
        <v>0</v>
      </c>
      <c r="L784" s="176">
        <f t="shared" si="293"/>
        <v>0</v>
      </c>
      <c r="M784" s="176">
        <f t="shared" si="293"/>
        <v>0</v>
      </c>
    </row>
    <row r="785" spans="2:13" x14ac:dyDescent="0.2">
      <c r="B785" s="16"/>
      <c r="C785" s="16"/>
      <c r="D785" s="16"/>
      <c r="E785" s="16"/>
      <c r="F785" s="16"/>
      <c r="G785" s="16"/>
      <c r="H785" s="113" t="s">
        <v>821</v>
      </c>
      <c r="I785" s="67"/>
      <c r="J785" s="114" t="s">
        <v>421</v>
      </c>
      <c r="K785" s="176">
        <f>+K786</f>
        <v>0</v>
      </c>
      <c r="L785" s="176">
        <f t="shared" si="293"/>
        <v>0</v>
      </c>
      <c r="M785" s="176">
        <f t="shared" si="293"/>
        <v>0</v>
      </c>
    </row>
    <row r="786" spans="2:13" x14ac:dyDescent="0.2">
      <c r="B786" s="16"/>
      <c r="C786" s="16"/>
      <c r="D786" s="16"/>
      <c r="E786" s="16"/>
      <c r="F786" s="16"/>
      <c r="G786" s="16"/>
      <c r="H786" s="113" t="s">
        <v>823</v>
      </c>
      <c r="I786" s="67"/>
      <c r="J786" s="114" t="s">
        <v>183</v>
      </c>
      <c r="K786" s="176">
        <v>0</v>
      </c>
      <c r="L786" s="176">
        <v>0</v>
      </c>
      <c r="M786" s="176">
        <v>0</v>
      </c>
    </row>
    <row r="787" spans="2:13" x14ac:dyDescent="0.2">
      <c r="B787" s="16" t="s">
        <v>1003</v>
      </c>
      <c r="C787" s="16" t="s">
        <v>1039</v>
      </c>
      <c r="D787" s="46" t="s">
        <v>1051</v>
      </c>
      <c r="E787" s="16" t="s">
        <v>1014</v>
      </c>
      <c r="F787" s="16" t="s">
        <v>1022</v>
      </c>
      <c r="G787" s="16" t="s">
        <v>1025</v>
      </c>
      <c r="H787" s="113" t="s">
        <v>929</v>
      </c>
      <c r="I787" s="67">
        <v>20</v>
      </c>
      <c r="J787" s="114" t="s">
        <v>988</v>
      </c>
      <c r="K787" s="112">
        <v>0</v>
      </c>
      <c r="L787" s="112">
        <v>0</v>
      </c>
      <c r="M787" s="126">
        <f>+Tabla134[[#This Row],[PF AJUSTE 1]]+Tabla134[[#This Row],[AJUSTE 2]]</f>
        <v>0</v>
      </c>
    </row>
    <row r="788" spans="2:13" ht="13.5" customHeight="1" x14ac:dyDescent="0.2">
      <c r="B788" s="16" t="s">
        <v>1003</v>
      </c>
      <c r="C788" s="16" t="s">
        <v>1039</v>
      </c>
      <c r="D788" s="46" t="s">
        <v>1051</v>
      </c>
      <c r="E788" s="16" t="s">
        <v>1014</v>
      </c>
      <c r="F788" s="16" t="s">
        <v>1022</v>
      </c>
      <c r="G788" s="16" t="s">
        <v>1025</v>
      </c>
      <c r="H788" s="113" t="s">
        <v>930</v>
      </c>
      <c r="I788" s="67">
        <v>20</v>
      </c>
      <c r="J788" s="114" t="s">
        <v>990</v>
      </c>
      <c r="K788" s="112">
        <v>0</v>
      </c>
      <c r="L788" s="112">
        <v>0</v>
      </c>
      <c r="M788" s="126">
        <f>+Tabla134[[#This Row],[PF AJUSTE 1]]+Tabla134[[#This Row],[AJUSTE 2]]</f>
        <v>0</v>
      </c>
    </row>
    <row r="789" spans="2:13" s="13" customFormat="1" ht="15" x14ac:dyDescent="0.25">
      <c r="B789" s="24"/>
      <c r="C789" s="24"/>
      <c r="D789" s="24"/>
      <c r="E789" s="24"/>
      <c r="F789" s="24"/>
      <c r="G789" s="24"/>
      <c r="H789" s="110" t="s">
        <v>831</v>
      </c>
      <c r="I789" s="184"/>
      <c r="J789" s="111" t="s">
        <v>931</v>
      </c>
      <c r="K789" s="196">
        <f>+K790+K792+K794</f>
        <v>0</v>
      </c>
      <c r="L789" s="196">
        <f t="shared" ref="L789:M789" si="294">+L790+L792+L794</f>
        <v>0</v>
      </c>
      <c r="M789" s="196">
        <f t="shared" si="294"/>
        <v>0</v>
      </c>
    </row>
    <row r="790" spans="2:13" s="13" customFormat="1" ht="15" x14ac:dyDescent="0.25">
      <c r="B790" s="24"/>
      <c r="C790" s="24"/>
      <c r="D790" s="24"/>
      <c r="E790" s="24"/>
      <c r="F790" s="24"/>
      <c r="G790" s="24"/>
      <c r="H790" s="110" t="s">
        <v>832</v>
      </c>
      <c r="I790" s="184"/>
      <c r="J790" s="111" t="s">
        <v>932</v>
      </c>
      <c r="K790" s="196">
        <f>+K791</f>
        <v>0</v>
      </c>
      <c r="L790" s="196">
        <f t="shared" ref="L790:M790" si="295">+L791</f>
        <v>0</v>
      </c>
      <c r="M790" s="196">
        <f t="shared" si="295"/>
        <v>0</v>
      </c>
    </row>
    <row r="791" spans="2:13" x14ac:dyDescent="0.2">
      <c r="B791" s="16" t="s">
        <v>1003</v>
      </c>
      <c r="C791" s="16" t="s">
        <v>1039</v>
      </c>
      <c r="D791" s="46" t="s">
        <v>1051</v>
      </c>
      <c r="E791" s="16" t="s">
        <v>1014</v>
      </c>
      <c r="F791" s="16" t="s">
        <v>1023</v>
      </c>
      <c r="G791" s="16" t="s">
        <v>1028</v>
      </c>
      <c r="H791" s="113" t="s">
        <v>846</v>
      </c>
      <c r="I791" s="67">
        <v>20</v>
      </c>
      <c r="J791" s="114" t="s">
        <v>242</v>
      </c>
      <c r="K791" s="112">
        <v>0</v>
      </c>
      <c r="L791" s="112">
        <v>0</v>
      </c>
      <c r="M791" s="126">
        <f>+Tabla134[[#This Row],[PF AJUSTE 1]]+Tabla134[[#This Row],[AJUSTE 2]]</f>
        <v>0</v>
      </c>
    </row>
    <row r="792" spans="2:13" s="13" customFormat="1" ht="15" x14ac:dyDescent="0.25">
      <c r="B792" s="24"/>
      <c r="C792" s="24"/>
      <c r="D792" s="24"/>
      <c r="E792" s="24"/>
      <c r="F792" s="24"/>
      <c r="G792" s="24"/>
      <c r="H792" s="110" t="s">
        <v>840</v>
      </c>
      <c r="I792" s="184"/>
      <c r="J792" s="111" t="s">
        <v>933</v>
      </c>
      <c r="K792" s="196">
        <f>+K793</f>
        <v>0</v>
      </c>
      <c r="L792" s="196">
        <f t="shared" ref="L792:M792" si="296">+L793</f>
        <v>0</v>
      </c>
      <c r="M792" s="196">
        <f t="shared" si="296"/>
        <v>0</v>
      </c>
    </row>
    <row r="793" spans="2:13" x14ac:dyDescent="0.2">
      <c r="B793" s="16" t="s">
        <v>1003</v>
      </c>
      <c r="C793" s="16" t="s">
        <v>1039</v>
      </c>
      <c r="D793" s="46" t="s">
        <v>1051</v>
      </c>
      <c r="E793" s="16" t="s">
        <v>1014</v>
      </c>
      <c r="F793" s="16" t="s">
        <v>1023</v>
      </c>
      <c r="G793" s="16" t="s">
        <v>1030</v>
      </c>
      <c r="H793" s="113" t="s">
        <v>844</v>
      </c>
      <c r="I793" s="67">
        <v>20</v>
      </c>
      <c r="J793" s="114" t="s">
        <v>845</v>
      </c>
      <c r="K793" s="112">
        <v>0</v>
      </c>
      <c r="L793" s="112">
        <v>0</v>
      </c>
      <c r="M793" s="126">
        <f>+Tabla134[[#This Row],[PF AJUSTE 1]]+Tabla134[[#This Row],[AJUSTE 2]]</f>
        <v>0</v>
      </c>
    </row>
    <row r="794" spans="2:13" s="13" customFormat="1" ht="15" x14ac:dyDescent="0.25">
      <c r="B794" s="24"/>
      <c r="C794" s="24"/>
      <c r="D794" s="24"/>
      <c r="E794" s="24"/>
      <c r="F794" s="24"/>
      <c r="G794" s="24"/>
      <c r="H794" s="110" t="s">
        <v>880</v>
      </c>
      <c r="I794" s="184"/>
      <c r="J794" s="111" t="s">
        <v>273</v>
      </c>
      <c r="K794" s="196">
        <f>+K795</f>
        <v>0</v>
      </c>
      <c r="L794" s="196">
        <f t="shared" ref="L794:M795" si="297">+L795</f>
        <v>0</v>
      </c>
      <c r="M794" s="196">
        <f t="shared" si="297"/>
        <v>0</v>
      </c>
    </row>
    <row r="795" spans="2:13" x14ac:dyDescent="0.2">
      <c r="B795" s="16"/>
      <c r="C795" s="16"/>
      <c r="D795" s="16"/>
      <c r="E795" s="16"/>
      <c r="F795" s="16"/>
      <c r="G795" s="16"/>
      <c r="H795" s="113" t="s">
        <v>881</v>
      </c>
      <c r="I795" s="67"/>
      <c r="J795" s="114" t="s">
        <v>275</v>
      </c>
      <c r="K795" s="176">
        <f>+K796</f>
        <v>0</v>
      </c>
      <c r="L795" s="176">
        <f t="shared" si="297"/>
        <v>0</v>
      </c>
      <c r="M795" s="176">
        <f t="shared" si="297"/>
        <v>0</v>
      </c>
    </row>
    <row r="796" spans="2:13" x14ac:dyDescent="0.2">
      <c r="B796" s="16" t="s">
        <v>1003</v>
      </c>
      <c r="C796" s="16" t="s">
        <v>1039</v>
      </c>
      <c r="D796" s="46" t="s">
        <v>1051</v>
      </c>
      <c r="E796" s="16" t="s">
        <v>1014</v>
      </c>
      <c r="F796" s="16" t="s">
        <v>1023</v>
      </c>
      <c r="G796" s="16" t="s">
        <v>1031</v>
      </c>
      <c r="H796" s="113" t="s">
        <v>882</v>
      </c>
      <c r="I796" s="67">
        <v>20</v>
      </c>
      <c r="J796" s="114" t="s">
        <v>278</v>
      </c>
      <c r="K796" s="112">
        <v>0</v>
      </c>
      <c r="L796" s="112">
        <v>0</v>
      </c>
      <c r="M796" s="126">
        <f>+Tabla134[[#This Row],[PF AJUSTE 1]]+Tabla134[[#This Row],[AJUSTE 2]]</f>
        <v>0</v>
      </c>
    </row>
    <row r="797" spans="2:13" x14ac:dyDescent="0.2">
      <c r="B797" s="16"/>
      <c r="C797" s="16"/>
      <c r="D797" s="16"/>
      <c r="E797" s="16"/>
      <c r="F797" s="16"/>
      <c r="G797" s="16"/>
      <c r="H797" s="113"/>
      <c r="I797" s="67"/>
      <c r="J797" s="114"/>
      <c r="K797" s="176"/>
      <c r="L797" s="176"/>
      <c r="M797" s="176"/>
    </row>
    <row r="798" spans="2:13" ht="15" x14ac:dyDescent="0.25">
      <c r="B798" s="16"/>
      <c r="C798" s="16"/>
      <c r="D798" s="16"/>
      <c r="E798" s="16"/>
      <c r="F798" s="16"/>
      <c r="G798" s="16"/>
      <c r="H798" s="106" t="s">
        <v>934</v>
      </c>
      <c r="I798" s="193"/>
      <c r="J798" s="106"/>
      <c r="K798" s="167">
        <f>+K776</f>
        <v>0</v>
      </c>
      <c r="L798" s="167">
        <f t="shared" ref="L798:M798" si="298">+L776</f>
        <v>0</v>
      </c>
      <c r="M798" s="167">
        <f t="shared" si="298"/>
        <v>0</v>
      </c>
    </row>
    <row r="799" spans="2:13" x14ac:dyDescent="0.2">
      <c r="B799" s="16"/>
      <c r="C799" s="16"/>
      <c r="D799" s="16"/>
      <c r="E799" s="16"/>
      <c r="F799" s="16"/>
      <c r="G799" s="16"/>
      <c r="H799" s="45"/>
      <c r="I799" s="67"/>
      <c r="J799" s="68"/>
      <c r="K799" s="173"/>
      <c r="L799" s="95"/>
      <c r="M799" s="95"/>
    </row>
    <row r="800" spans="2:13" ht="15" x14ac:dyDescent="0.25">
      <c r="B800" s="16"/>
      <c r="C800" s="16"/>
      <c r="D800" s="16"/>
      <c r="E800" s="16"/>
      <c r="F800" s="16"/>
      <c r="G800" s="16"/>
      <c r="H800" s="75" t="s">
        <v>935</v>
      </c>
      <c r="I800" s="191"/>
      <c r="J800" s="75"/>
      <c r="K800" s="166"/>
      <c r="L800" s="76"/>
      <c r="M800" s="76"/>
    </row>
    <row r="801" spans="2:13" ht="15" x14ac:dyDescent="0.25">
      <c r="B801" s="16"/>
      <c r="C801" s="16"/>
      <c r="D801" s="16"/>
      <c r="E801" s="16"/>
      <c r="F801" s="16"/>
      <c r="G801" s="16"/>
      <c r="H801" s="75" t="s">
        <v>936</v>
      </c>
      <c r="I801" s="191"/>
      <c r="J801" s="75"/>
      <c r="K801" s="166"/>
      <c r="L801" s="76"/>
      <c r="M801" s="76"/>
    </row>
    <row r="802" spans="2:13" ht="15" x14ac:dyDescent="0.2">
      <c r="B802" s="16"/>
      <c r="C802" s="16"/>
      <c r="D802" s="16"/>
      <c r="E802" s="16"/>
      <c r="F802" s="16"/>
      <c r="G802" s="16"/>
      <c r="H802" s="55" t="s">
        <v>937</v>
      </c>
      <c r="I802" s="56"/>
      <c r="J802" s="32" t="s">
        <v>938</v>
      </c>
      <c r="K802" s="161"/>
      <c r="L802" s="57"/>
      <c r="M802" s="57"/>
    </row>
    <row r="803" spans="2:13" ht="15" x14ac:dyDescent="0.2">
      <c r="B803" s="16"/>
      <c r="C803" s="16"/>
      <c r="D803" s="16"/>
      <c r="E803" s="16"/>
      <c r="F803" s="16"/>
      <c r="G803" s="16"/>
      <c r="H803" s="17" t="s">
        <v>939</v>
      </c>
      <c r="I803" s="80"/>
      <c r="J803" s="44" t="s">
        <v>914</v>
      </c>
      <c r="K803" s="177">
        <f>+K804+K811</f>
        <v>53826083191</v>
      </c>
      <c r="L803" s="177">
        <f>+L804+L811</f>
        <v>0</v>
      </c>
      <c r="M803" s="177">
        <f>+M804+M811</f>
        <v>53826083191</v>
      </c>
    </row>
    <row r="804" spans="2:13" ht="15" x14ac:dyDescent="0.2">
      <c r="B804" s="16"/>
      <c r="C804" s="16"/>
      <c r="D804" s="16"/>
      <c r="E804" s="16"/>
      <c r="F804" s="16"/>
      <c r="G804" s="16"/>
      <c r="H804" s="17" t="s">
        <v>940</v>
      </c>
      <c r="I804" s="80"/>
      <c r="J804" s="44" t="s">
        <v>769</v>
      </c>
      <c r="K804" s="178">
        <f t="shared" ref="K804:M807" si="299">+K805</f>
        <v>0</v>
      </c>
      <c r="L804" s="178">
        <f t="shared" si="299"/>
        <v>0</v>
      </c>
      <c r="M804" s="178">
        <f t="shared" si="299"/>
        <v>0</v>
      </c>
    </row>
    <row r="805" spans="2:13" ht="15" x14ac:dyDescent="0.2">
      <c r="B805" s="16"/>
      <c r="C805" s="16"/>
      <c r="D805" s="16"/>
      <c r="E805" s="16"/>
      <c r="F805" s="16"/>
      <c r="G805" s="16"/>
      <c r="H805" s="17" t="s">
        <v>941</v>
      </c>
      <c r="I805" s="80"/>
      <c r="J805" s="44" t="s">
        <v>770</v>
      </c>
      <c r="K805" s="178">
        <f t="shared" si="299"/>
        <v>0</v>
      </c>
      <c r="L805" s="178">
        <f t="shared" si="299"/>
        <v>0</v>
      </c>
      <c r="M805" s="178">
        <f t="shared" si="299"/>
        <v>0</v>
      </c>
    </row>
    <row r="806" spans="2:13" ht="15" x14ac:dyDescent="0.2">
      <c r="B806" s="16"/>
      <c r="C806" s="16"/>
      <c r="D806" s="16"/>
      <c r="E806" s="16"/>
      <c r="F806" s="16"/>
      <c r="G806" s="16"/>
      <c r="H806" s="17" t="s">
        <v>942</v>
      </c>
      <c r="I806" s="80"/>
      <c r="J806" s="44" t="s">
        <v>818</v>
      </c>
      <c r="K806" s="178">
        <f t="shared" si="299"/>
        <v>0</v>
      </c>
      <c r="L806" s="178">
        <f t="shared" si="299"/>
        <v>0</v>
      </c>
      <c r="M806" s="178">
        <f t="shared" si="299"/>
        <v>0</v>
      </c>
    </row>
    <row r="807" spans="2:13" ht="30" x14ac:dyDescent="0.2">
      <c r="B807" s="16"/>
      <c r="C807" s="16"/>
      <c r="D807" s="16"/>
      <c r="E807" s="16"/>
      <c r="F807" s="16"/>
      <c r="G807" s="16"/>
      <c r="H807" s="17" t="s">
        <v>943</v>
      </c>
      <c r="I807" s="80"/>
      <c r="J807" s="117" t="s">
        <v>944</v>
      </c>
      <c r="K807" s="178">
        <f t="shared" si="299"/>
        <v>0</v>
      </c>
      <c r="L807" s="178">
        <f t="shared" si="299"/>
        <v>0</v>
      </c>
      <c r="M807" s="178">
        <f t="shared" si="299"/>
        <v>0</v>
      </c>
    </row>
    <row r="808" spans="2:13" x14ac:dyDescent="0.2">
      <c r="B808" s="16"/>
      <c r="C808" s="16"/>
      <c r="D808" s="16"/>
      <c r="E808" s="16"/>
      <c r="F808" s="16"/>
      <c r="G808" s="16"/>
      <c r="H808" s="21" t="s">
        <v>945</v>
      </c>
      <c r="I808" s="80"/>
      <c r="J808" s="118" t="s">
        <v>946</v>
      </c>
      <c r="K808" s="179">
        <f>+K809+K810</f>
        <v>0</v>
      </c>
      <c r="L808" s="179">
        <f>+L809+L810</f>
        <v>0</v>
      </c>
      <c r="M808" s="179">
        <f>+M809+M810</f>
        <v>0</v>
      </c>
    </row>
    <row r="809" spans="2:13" ht="16.5" x14ac:dyDescent="0.2">
      <c r="B809" s="16" t="s">
        <v>1003</v>
      </c>
      <c r="C809" s="16" t="s">
        <v>1012</v>
      </c>
      <c r="D809" s="46" t="s">
        <v>1051</v>
      </c>
      <c r="E809" s="16" t="s">
        <v>1015</v>
      </c>
      <c r="F809" s="16" t="s">
        <v>1022</v>
      </c>
      <c r="G809" s="16" t="s">
        <v>1025</v>
      </c>
      <c r="H809" s="21" t="s">
        <v>947</v>
      </c>
      <c r="I809" s="67">
        <v>3</v>
      </c>
      <c r="J809" s="118" t="s">
        <v>10</v>
      </c>
      <c r="K809" s="120">
        <v>0</v>
      </c>
      <c r="L809" s="120">
        <v>0</v>
      </c>
      <c r="M809" s="126">
        <f>+Tabla134[[#This Row],[PF AJUSTE 1]]+Tabla134[[#This Row],[AJUSTE 2]]</f>
        <v>0</v>
      </c>
    </row>
    <row r="810" spans="2:13" ht="16.5" x14ac:dyDescent="0.2">
      <c r="B810" s="16" t="s">
        <v>1003</v>
      </c>
      <c r="C810" s="16" t="s">
        <v>1012</v>
      </c>
      <c r="D810" s="46" t="s">
        <v>1051</v>
      </c>
      <c r="E810" s="16" t="s">
        <v>1014</v>
      </c>
      <c r="F810" s="16" t="s">
        <v>1022</v>
      </c>
      <c r="G810" s="16" t="s">
        <v>1025</v>
      </c>
      <c r="H810" s="21" t="s">
        <v>948</v>
      </c>
      <c r="I810" s="67">
        <v>20</v>
      </c>
      <c r="J810" s="118" t="s">
        <v>10</v>
      </c>
      <c r="K810" s="120">
        <v>0</v>
      </c>
      <c r="L810" s="120">
        <v>0</v>
      </c>
      <c r="M810" s="126">
        <f>+Tabla134[[#This Row],[PF AJUSTE 1]]+Tabla134[[#This Row],[AJUSTE 2]]</f>
        <v>0</v>
      </c>
    </row>
    <row r="811" spans="2:13" s="13" customFormat="1" ht="15" x14ac:dyDescent="0.25">
      <c r="B811" s="16"/>
      <c r="C811" s="16"/>
      <c r="D811" s="16"/>
      <c r="E811" s="16"/>
      <c r="F811" s="16"/>
      <c r="G811" s="24"/>
      <c r="H811" s="17" t="s">
        <v>949</v>
      </c>
      <c r="I811" s="80"/>
      <c r="J811" s="17" t="s">
        <v>771</v>
      </c>
      <c r="K811" s="167">
        <f t="shared" ref="K811:M813" si="300">+K812</f>
        <v>53826083191</v>
      </c>
      <c r="L811" s="167">
        <f t="shared" si="300"/>
        <v>0</v>
      </c>
      <c r="M811" s="167">
        <f t="shared" si="300"/>
        <v>53826083191</v>
      </c>
    </row>
    <row r="812" spans="2:13" s="13" customFormat="1" ht="15" x14ac:dyDescent="0.25">
      <c r="B812" s="24"/>
      <c r="C812" s="24"/>
      <c r="D812" s="24"/>
      <c r="E812" s="24"/>
      <c r="F812" s="24"/>
      <c r="G812" s="24"/>
      <c r="H812" s="17" t="s">
        <v>950</v>
      </c>
      <c r="I812" s="80"/>
      <c r="J812" s="17" t="s">
        <v>583</v>
      </c>
      <c r="K812" s="167">
        <f t="shared" si="300"/>
        <v>53826083191</v>
      </c>
      <c r="L812" s="167">
        <f t="shared" si="300"/>
        <v>0</v>
      </c>
      <c r="M812" s="167">
        <f t="shared" si="300"/>
        <v>53826083191</v>
      </c>
    </row>
    <row r="813" spans="2:13" s="13" customFormat="1" ht="15" x14ac:dyDescent="0.25">
      <c r="B813" s="24"/>
      <c r="C813" s="24"/>
      <c r="D813" s="24"/>
      <c r="E813" s="24"/>
      <c r="F813" s="24"/>
      <c r="G813" s="24"/>
      <c r="H813" s="17" t="s">
        <v>951</v>
      </c>
      <c r="I813" s="80"/>
      <c r="J813" s="17" t="s">
        <v>837</v>
      </c>
      <c r="K813" s="167">
        <f t="shared" si="300"/>
        <v>53826083191</v>
      </c>
      <c r="L813" s="167">
        <f t="shared" si="300"/>
        <v>0</v>
      </c>
      <c r="M813" s="167">
        <f t="shared" si="300"/>
        <v>53826083191</v>
      </c>
    </row>
    <row r="814" spans="2:13" s="13" customFormat="1" ht="15" x14ac:dyDescent="0.25">
      <c r="B814" s="24"/>
      <c r="C814" s="24"/>
      <c r="D814" s="24"/>
      <c r="E814" s="24"/>
      <c r="F814" s="24"/>
      <c r="G814" s="24"/>
      <c r="H814" s="17" t="s">
        <v>952</v>
      </c>
      <c r="I814" s="80"/>
      <c r="J814" s="121" t="s">
        <v>953</v>
      </c>
      <c r="K814" s="167">
        <f>SUM(K815:K822)</f>
        <v>53826083191</v>
      </c>
      <c r="L814" s="167">
        <f>SUM(L815:L822)</f>
        <v>0</v>
      </c>
      <c r="M814" s="167">
        <f>SUM(M815:M822)</f>
        <v>53826083191</v>
      </c>
    </row>
    <row r="815" spans="2:13" s="13" customFormat="1" ht="15" x14ac:dyDescent="0.25">
      <c r="B815" s="16" t="s">
        <v>1003</v>
      </c>
      <c r="C815" s="16" t="s">
        <v>1012</v>
      </c>
      <c r="D815" s="46" t="s">
        <v>1051</v>
      </c>
      <c r="E815" s="16" t="s">
        <v>1015</v>
      </c>
      <c r="F815" s="16" t="s">
        <v>1023</v>
      </c>
      <c r="G815" s="16" t="s">
        <v>1035</v>
      </c>
      <c r="H815" s="21" t="s">
        <v>954</v>
      </c>
      <c r="I815" s="80">
        <v>4</v>
      </c>
      <c r="J815" s="122" t="s">
        <v>955</v>
      </c>
      <c r="K815" s="79">
        <v>0</v>
      </c>
      <c r="L815" s="79">
        <v>0</v>
      </c>
      <c r="M815" s="126">
        <f>+Tabla134[[#This Row],[PF AJUSTE 1]]+Tabla134[[#This Row],[AJUSTE 2]]</f>
        <v>0</v>
      </c>
    </row>
    <row r="816" spans="2:13" x14ac:dyDescent="0.2">
      <c r="B816" s="16" t="s">
        <v>1003</v>
      </c>
      <c r="C816" s="16" t="s">
        <v>1012</v>
      </c>
      <c r="D816" s="46" t="s">
        <v>1051</v>
      </c>
      <c r="E816" s="16" t="s">
        <v>1015</v>
      </c>
      <c r="F816" s="16" t="s">
        <v>1023</v>
      </c>
      <c r="G816" s="16" t="s">
        <v>1035</v>
      </c>
      <c r="H816" s="21" t="s">
        <v>956</v>
      </c>
      <c r="I816" s="80">
        <v>5</v>
      </c>
      <c r="J816" s="122" t="s">
        <v>955</v>
      </c>
      <c r="K816" s="95">
        <v>0</v>
      </c>
      <c r="L816" s="95">
        <v>0</v>
      </c>
      <c r="M816" s="126">
        <f>+Tabla134[[#This Row],[PF AJUSTE 1]]+Tabla134[[#This Row],[AJUSTE 2]]</f>
        <v>0</v>
      </c>
    </row>
    <row r="817" spans="2:13" x14ac:dyDescent="0.2">
      <c r="B817" s="16" t="s">
        <v>1003</v>
      </c>
      <c r="C817" s="16" t="s">
        <v>1012</v>
      </c>
      <c r="D817" s="46" t="s">
        <v>1051</v>
      </c>
      <c r="E817" s="16" t="s">
        <v>1015</v>
      </c>
      <c r="F817" s="16" t="s">
        <v>1023</v>
      </c>
      <c r="G817" s="16" t="s">
        <v>1035</v>
      </c>
      <c r="H817" s="21" t="s">
        <v>957</v>
      </c>
      <c r="I817" s="80">
        <v>8</v>
      </c>
      <c r="J817" s="122" t="s">
        <v>955</v>
      </c>
      <c r="K817" s="95">
        <v>0</v>
      </c>
      <c r="L817" s="95">
        <v>0</v>
      </c>
      <c r="M817" s="126">
        <f>+Tabla134[[#This Row],[PF AJUSTE 1]]+Tabla134[[#This Row],[AJUSTE 2]]</f>
        <v>0</v>
      </c>
    </row>
    <row r="818" spans="2:13" x14ac:dyDescent="0.2">
      <c r="B818" s="16" t="s">
        <v>1003</v>
      </c>
      <c r="C818" s="16" t="s">
        <v>1012</v>
      </c>
      <c r="D818" s="46" t="s">
        <v>1051</v>
      </c>
      <c r="E818" s="16" t="s">
        <v>1014</v>
      </c>
      <c r="F818" s="16" t="s">
        <v>1023</v>
      </c>
      <c r="G818" s="16" t="s">
        <v>1035</v>
      </c>
      <c r="H818" s="21" t="s">
        <v>958</v>
      </c>
      <c r="I818" s="80">
        <v>20</v>
      </c>
      <c r="J818" s="122" t="s">
        <v>955</v>
      </c>
      <c r="K818" s="95">
        <v>0</v>
      </c>
      <c r="L818" s="95">
        <v>0</v>
      </c>
      <c r="M818" s="126">
        <f>+Tabla134[[#This Row],[PF AJUSTE 1]]+Tabla134[[#This Row],[AJUSTE 2]]</f>
        <v>0</v>
      </c>
    </row>
    <row r="819" spans="2:13" x14ac:dyDescent="0.2">
      <c r="B819" s="16" t="s">
        <v>1003</v>
      </c>
      <c r="C819" s="16" t="s">
        <v>1012</v>
      </c>
      <c r="D819" s="46" t="s">
        <v>1051</v>
      </c>
      <c r="E819" s="16" t="s">
        <v>1015</v>
      </c>
      <c r="F819" s="16" t="s">
        <v>1023</v>
      </c>
      <c r="G819" s="16" t="s">
        <v>1035</v>
      </c>
      <c r="H819" s="21" t="s">
        <v>959</v>
      </c>
      <c r="I819" s="80">
        <v>23</v>
      </c>
      <c r="J819" s="122" t="s">
        <v>955</v>
      </c>
      <c r="K819" s="95">
        <v>0</v>
      </c>
      <c r="L819" s="95">
        <v>0</v>
      </c>
      <c r="M819" s="126">
        <f>+Tabla134[[#This Row],[PF AJUSTE 1]]+Tabla134[[#This Row],[AJUSTE 2]]</f>
        <v>0</v>
      </c>
    </row>
    <row r="820" spans="2:13" x14ac:dyDescent="0.2">
      <c r="B820" s="16" t="s">
        <v>1003</v>
      </c>
      <c r="C820" s="16" t="s">
        <v>1012</v>
      </c>
      <c r="D820" s="46" t="s">
        <v>1051</v>
      </c>
      <c r="E820" s="16" t="s">
        <v>1015</v>
      </c>
      <c r="F820" s="16" t="s">
        <v>1023</v>
      </c>
      <c r="G820" s="16" t="s">
        <v>1035</v>
      </c>
      <c r="H820" s="21" t="s">
        <v>983</v>
      </c>
      <c r="I820" s="80">
        <v>23</v>
      </c>
      <c r="J820" s="122" t="s">
        <v>955</v>
      </c>
      <c r="K820" s="95">
        <v>0</v>
      </c>
      <c r="L820" s="95">
        <v>0</v>
      </c>
      <c r="M820" s="126">
        <f>+Tabla134[[#This Row],[PF AJUSTE 1]]+Tabla134[[#This Row],[AJUSTE 2]]</f>
        <v>0</v>
      </c>
    </row>
    <row r="821" spans="2:13" x14ac:dyDescent="0.2">
      <c r="B821" s="16" t="s">
        <v>1003</v>
      </c>
      <c r="C821" s="16" t="s">
        <v>1012</v>
      </c>
      <c r="D821" s="46" t="s">
        <v>1051</v>
      </c>
      <c r="E821" s="16" t="s">
        <v>1015</v>
      </c>
      <c r="F821" s="16" t="s">
        <v>1023</v>
      </c>
      <c r="G821" s="16" t="s">
        <v>1035</v>
      </c>
      <c r="H821" s="21" t="s">
        <v>960</v>
      </c>
      <c r="I821" s="80">
        <v>312</v>
      </c>
      <c r="J821" s="122" t="s">
        <v>955</v>
      </c>
      <c r="K821" s="95">
        <v>21000000000</v>
      </c>
      <c r="L821" s="95">
        <v>0</v>
      </c>
      <c r="M821" s="126">
        <f>+Tabla134[[#This Row],[PF AJUSTE 1]]+Tabla134[[#This Row],[AJUSTE 2]]</f>
        <v>21000000000</v>
      </c>
    </row>
    <row r="822" spans="2:13" x14ac:dyDescent="0.2">
      <c r="B822" s="16" t="s">
        <v>1003</v>
      </c>
      <c r="C822" s="16" t="s">
        <v>1012</v>
      </c>
      <c r="D822" s="46" t="s">
        <v>1051</v>
      </c>
      <c r="E822" s="16" t="s">
        <v>1015</v>
      </c>
      <c r="F822" s="16" t="s">
        <v>1023</v>
      </c>
      <c r="G822" s="16" t="s">
        <v>1035</v>
      </c>
      <c r="H822" s="21" t="s">
        <v>961</v>
      </c>
      <c r="I822" s="80">
        <v>316</v>
      </c>
      <c r="J822" s="122" t="s">
        <v>955</v>
      </c>
      <c r="K822" s="95">
        <v>32826083191</v>
      </c>
      <c r="L822" s="95">
        <v>0</v>
      </c>
      <c r="M822" s="126">
        <f>+Tabla134[[#This Row],[PF AJUSTE 1]]+Tabla134[[#This Row],[AJUSTE 2]]</f>
        <v>32826083191</v>
      </c>
    </row>
    <row r="823" spans="2:13" ht="15" x14ac:dyDescent="0.25">
      <c r="B823" s="123"/>
      <c r="C823" s="123"/>
      <c r="D823" s="123"/>
      <c r="E823" s="123"/>
      <c r="F823" s="123"/>
      <c r="G823" s="123"/>
      <c r="H823" s="124" t="s">
        <v>962</v>
      </c>
      <c r="I823" s="194"/>
      <c r="J823" s="124"/>
      <c r="K823" s="180">
        <f>+K803</f>
        <v>53826083191</v>
      </c>
      <c r="L823" s="180">
        <f>+L803</f>
        <v>0</v>
      </c>
      <c r="M823" s="180">
        <f>+M803</f>
        <v>53826083191</v>
      </c>
    </row>
    <row r="824" spans="2:13" x14ac:dyDescent="0.2">
      <c r="B824" s="16"/>
      <c r="C824" s="16"/>
      <c r="D824" s="16"/>
      <c r="E824" s="16"/>
      <c r="F824" s="16"/>
      <c r="G824" s="16"/>
      <c r="H824" s="45"/>
      <c r="I824" s="46"/>
      <c r="J824" s="22"/>
      <c r="K824" s="150"/>
    </row>
    <row r="825" spans="2:13" ht="15" x14ac:dyDescent="0.25">
      <c r="B825" s="16"/>
      <c r="C825" s="16"/>
      <c r="D825" s="16"/>
      <c r="E825" s="16"/>
      <c r="F825" s="16"/>
      <c r="G825" s="16"/>
      <c r="H825" s="127" t="s">
        <v>1055</v>
      </c>
      <c r="I825" s="195"/>
      <c r="J825" s="127"/>
      <c r="K825" s="181">
        <f>+K641+K3</f>
        <v>1339572954253</v>
      </c>
      <c r="L825" s="181">
        <f>+L641+L3</f>
        <v>0</v>
      </c>
      <c r="M825" s="181">
        <f>+M641+M3</f>
        <v>1339572954253</v>
      </c>
    </row>
    <row r="827" spans="2:13" ht="15" x14ac:dyDescent="0.25">
      <c r="K827" s="131"/>
    </row>
  </sheetData>
  <mergeCells count="1">
    <mergeCell ref="H1:K1"/>
  </mergeCells>
  <conditionalFormatting sqref="J258">
    <cfRule type="expression" dxfId="8" priority="1">
      <formula>#REF!="A9"</formula>
    </cfRule>
    <cfRule type="expression" dxfId="7" priority="2">
      <formula>#REF!="A8"</formula>
    </cfRule>
    <cfRule type="expression" dxfId="6" priority="3">
      <formula>#REF!="A7"</formula>
    </cfRule>
    <cfRule type="expression" dxfId="5" priority="4">
      <formula>#REF!="A6"</formula>
    </cfRule>
    <cfRule type="expression" dxfId="4" priority="5">
      <formula>#REF!="A5"</formula>
    </cfRule>
    <cfRule type="expression" dxfId="3" priority="6">
      <formula>#REF!="A4"</formula>
    </cfRule>
    <cfRule type="expression" dxfId="2" priority="7">
      <formula>#REF!="A3"</formula>
    </cfRule>
    <cfRule type="expression" dxfId="1" priority="8">
      <formula>#REF!="A2"</formula>
    </cfRule>
    <cfRule type="expression" dxfId="0" priority="9">
      <formula>#REF!="A1"</formula>
    </cfRule>
  </conditionalFormatting>
  <pageMargins left="0.55118110236220474" right="0.74803149606299213" top="0.98425196850393704" bottom="0.98425196850393704" header="0" footer="0"/>
  <pageSetup scale="70" orientation="landscape" blackAndWhite="1" errors="NA" r:id="rId1"/>
  <headerFooter alignWithMargins="0">
    <oddFooter>&amp;C&amp;P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6CC74-EC13-4753-8CC2-E12B9E3797A0}">
  <dimension ref="B1:R56"/>
  <sheetViews>
    <sheetView workbookViewId="0">
      <selection activeCell="C5" sqref="C5"/>
    </sheetView>
  </sheetViews>
  <sheetFormatPr baseColWidth="10" defaultRowHeight="12.75" x14ac:dyDescent="0.2"/>
  <cols>
    <col min="2" max="2" width="19.7109375" bestFit="1" customWidth="1"/>
    <col min="3" max="3" width="20" style="143" bestFit="1" customWidth="1"/>
    <col min="5" max="5" width="29.140625" customWidth="1"/>
    <col min="6" max="6" width="20.7109375" customWidth="1"/>
    <col min="8" max="8" width="31.28515625" bestFit="1" customWidth="1"/>
    <col min="9" max="9" width="18.28515625" bestFit="1" customWidth="1"/>
    <col min="11" max="11" width="38" bestFit="1" customWidth="1"/>
    <col min="12" max="12" width="20" bestFit="1" customWidth="1"/>
    <col min="14" max="14" width="38" bestFit="1" customWidth="1"/>
    <col min="15" max="15" width="20" bestFit="1" customWidth="1"/>
    <col min="17" max="17" width="38" bestFit="1" customWidth="1"/>
    <col min="18" max="18" width="20" bestFit="1" customWidth="1"/>
  </cols>
  <sheetData>
    <row r="1" spans="2:18" x14ac:dyDescent="0.2">
      <c r="H1" s="139" t="s">
        <v>996</v>
      </c>
      <c r="I1" t="s">
        <v>1006</v>
      </c>
    </row>
    <row r="3" spans="2:18" x14ac:dyDescent="0.2">
      <c r="B3" s="139" t="s">
        <v>1041</v>
      </c>
      <c r="C3" s="144" t="s">
        <v>1043</v>
      </c>
      <c r="E3" s="139" t="s">
        <v>1041</v>
      </c>
      <c r="F3" s="144" t="s">
        <v>1043</v>
      </c>
      <c r="H3" s="139" t="s">
        <v>1041</v>
      </c>
      <c r="I3" s="144" t="s">
        <v>1043</v>
      </c>
      <c r="K3" s="139" t="s">
        <v>1041</v>
      </c>
      <c r="L3" s="144" t="s">
        <v>1043</v>
      </c>
      <c r="N3" s="139" t="s">
        <v>1041</v>
      </c>
      <c r="O3" s="144" t="s">
        <v>1043</v>
      </c>
      <c r="Q3" s="139" t="s">
        <v>1041</v>
      </c>
      <c r="R3" s="144" t="s">
        <v>1043</v>
      </c>
    </row>
    <row r="4" spans="2:18" x14ac:dyDescent="0.2">
      <c r="B4" s="140" t="s">
        <v>1002</v>
      </c>
      <c r="C4" s="144">
        <v>1268751167162</v>
      </c>
      <c r="E4" s="140" t="s">
        <v>1002</v>
      </c>
      <c r="F4" s="144">
        <v>1268751167162</v>
      </c>
      <c r="H4" s="140" t="s">
        <v>1002</v>
      </c>
      <c r="I4" s="144">
        <v>136834714317</v>
      </c>
      <c r="K4" s="140" t="s">
        <v>1002</v>
      </c>
      <c r="L4" s="144">
        <v>1268751167162</v>
      </c>
      <c r="N4" s="140" t="s">
        <v>1002</v>
      </c>
      <c r="O4" s="144">
        <v>1268751167162</v>
      </c>
      <c r="Q4" s="140" t="s">
        <v>1002</v>
      </c>
      <c r="R4" s="144">
        <v>1268751167162</v>
      </c>
    </row>
    <row r="5" spans="2:18" x14ac:dyDescent="0.2">
      <c r="B5" s="140" t="s">
        <v>1003</v>
      </c>
      <c r="C5" s="144">
        <v>70821787091</v>
      </c>
      <c r="E5" s="141" t="s">
        <v>1004</v>
      </c>
      <c r="F5" s="144">
        <v>438913691636</v>
      </c>
      <c r="H5" s="141" t="s">
        <v>1046</v>
      </c>
      <c r="I5" s="144">
        <v>12212970577</v>
      </c>
      <c r="K5" s="141" t="s">
        <v>1004</v>
      </c>
      <c r="L5" s="144">
        <v>438913691636</v>
      </c>
      <c r="N5" s="141" t="s">
        <v>1004</v>
      </c>
      <c r="O5" s="144">
        <v>438913691636</v>
      </c>
      <c r="Q5" s="141" t="s">
        <v>1004</v>
      </c>
      <c r="R5" s="144">
        <v>438913691636</v>
      </c>
    </row>
    <row r="6" spans="2:18" x14ac:dyDescent="0.2">
      <c r="B6" s="140" t="s">
        <v>1042</v>
      </c>
      <c r="C6" s="144">
        <v>1339572954253</v>
      </c>
      <c r="E6" s="141" t="s">
        <v>1005</v>
      </c>
      <c r="F6" s="144">
        <v>594675672654</v>
      </c>
      <c r="H6" s="141" t="s">
        <v>1047</v>
      </c>
      <c r="I6" s="144">
        <v>21611875646</v>
      </c>
      <c r="K6" s="148" t="s">
        <v>1018</v>
      </c>
      <c r="L6" s="144">
        <v>700000000</v>
      </c>
      <c r="N6" s="148" t="s">
        <v>1023</v>
      </c>
      <c r="O6" s="144">
        <v>2450000000</v>
      </c>
      <c r="Q6" s="148" t="s">
        <v>1023</v>
      </c>
      <c r="R6" s="144">
        <v>2450000000</v>
      </c>
    </row>
    <row r="7" spans="2:18" x14ac:dyDescent="0.2">
      <c r="C7"/>
      <c r="E7" s="141" t="s">
        <v>1008</v>
      </c>
      <c r="F7" s="144">
        <v>75255807463</v>
      </c>
      <c r="H7" s="141" t="s">
        <v>1049</v>
      </c>
      <c r="I7" s="144">
        <v>17635639023</v>
      </c>
      <c r="K7" s="148" t="s">
        <v>1019</v>
      </c>
      <c r="L7" s="144">
        <v>0</v>
      </c>
      <c r="N7" s="148" t="s">
        <v>1022</v>
      </c>
      <c r="O7" s="144">
        <v>436463691636</v>
      </c>
      <c r="Q7" s="149" t="s">
        <v>1029</v>
      </c>
      <c r="R7" s="144"/>
    </row>
    <row r="8" spans="2:18" x14ac:dyDescent="0.2">
      <c r="E8" s="141" t="s">
        <v>1006</v>
      </c>
      <c r="F8" s="144">
        <v>136834714317</v>
      </c>
      <c r="H8" s="141" t="s">
        <v>1050</v>
      </c>
      <c r="I8" s="144">
        <v>64394687927</v>
      </c>
      <c r="K8" s="148" t="s">
        <v>1016</v>
      </c>
      <c r="L8" s="144">
        <v>113665062558</v>
      </c>
      <c r="N8" s="141" t="s">
        <v>1005</v>
      </c>
      <c r="O8" s="144">
        <v>594675672654</v>
      </c>
      <c r="Q8" s="149" t="s">
        <v>1019</v>
      </c>
      <c r="R8" s="144">
        <v>0</v>
      </c>
    </row>
    <row r="9" spans="2:18" x14ac:dyDescent="0.2">
      <c r="E9" s="141" t="s">
        <v>1007</v>
      </c>
      <c r="F9" s="144">
        <v>21609919205</v>
      </c>
      <c r="H9" s="141" t="s">
        <v>1048</v>
      </c>
      <c r="I9" s="144">
        <v>20979541144</v>
      </c>
      <c r="K9" s="148" t="s">
        <v>1015</v>
      </c>
      <c r="L9" s="144">
        <v>62390335284</v>
      </c>
      <c r="N9" s="148" t="s">
        <v>1023</v>
      </c>
      <c r="O9" s="144">
        <v>600000000</v>
      </c>
      <c r="Q9" s="149" t="s">
        <v>1027</v>
      </c>
      <c r="R9" s="144">
        <v>250000000</v>
      </c>
    </row>
    <row r="10" spans="2:18" x14ac:dyDescent="0.2">
      <c r="E10" s="141" t="s">
        <v>1044</v>
      </c>
      <c r="F10" s="144">
        <v>1461361887</v>
      </c>
      <c r="H10" s="140" t="s">
        <v>1042</v>
      </c>
      <c r="I10" s="144">
        <v>136834714317</v>
      </c>
      <c r="K10" s="148" t="s">
        <v>1013</v>
      </c>
      <c r="L10" s="144">
        <v>243863652877</v>
      </c>
      <c r="N10" s="148" t="s">
        <v>1022</v>
      </c>
      <c r="O10" s="144">
        <v>594075672654</v>
      </c>
      <c r="Q10" s="149" t="s">
        <v>1026</v>
      </c>
      <c r="R10" s="144">
        <v>0</v>
      </c>
    </row>
    <row r="11" spans="2:18" x14ac:dyDescent="0.2">
      <c r="E11" s="140" t="s">
        <v>1042</v>
      </c>
      <c r="F11" s="144">
        <v>1268751167162</v>
      </c>
      <c r="K11" s="148" t="s">
        <v>1014</v>
      </c>
      <c r="L11" s="144">
        <v>2250000000</v>
      </c>
      <c r="N11" s="141" t="s">
        <v>1008</v>
      </c>
      <c r="O11" s="144">
        <v>75255807463</v>
      </c>
      <c r="Q11" s="149" t="s">
        <v>1032</v>
      </c>
      <c r="R11" s="144">
        <v>0</v>
      </c>
    </row>
    <row r="12" spans="2:18" x14ac:dyDescent="0.2">
      <c r="F12" s="142"/>
      <c r="K12" s="148" t="s">
        <v>1020</v>
      </c>
      <c r="L12" s="144">
        <v>0</v>
      </c>
      <c r="N12" s="148" t="s">
        <v>1023</v>
      </c>
      <c r="O12" s="144">
        <v>37500000000</v>
      </c>
      <c r="Q12" s="149" t="s">
        <v>1031</v>
      </c>
      <c r="R12" s="144">
        <v>0</v>
      </c>
    </row>
    <row r="13" spans="2:18" x14ac:dyDescent="0.2">
      <c r="F13" s="147"/>
      <c r="K13" s="148" t="s">
        <v>1017</v>
      </c>
      <c r="L13" s="144">
        <v>16044640917</v>
      </c>
      <c r="N13" s="148" t="s">
        <v>1022</v>
      </c>
      <c r="O13" s="144">
        <v>37755807463</v>
      </c>
      <c r="Q13" s="149" t="s">
        <v>1028</v>
      </c>
      <c r="R13" s="144">
        <v>2200000000</v>
      </c>
    </row>
    <row r="14" spans="2:18" x14ac:dyDescent="0.2">
      <c r="F14" s="147"/>
      <c r="K14" s="141" t="s">
        <v>1005</v>
      </c>
      <c r="L14" s="144">
        <v>594675672654</v>
      </c>
      <c r="N14" s="141" t="s">
        <v>1006</v>
      </c>
      <c r="O14" s="144">
        <v>136834714317</v>
      </c>
      <c r="Q14" s="149" t="s">
        <v>1030</v>
      </c>
      <c r="R14" s="144"/>
    </row>
    <row r="15" spans="2:18" x14ac:dyDescent="0.2">
      <c r="K15" s="148" t="s">
        <v>1018</v>
      </c>
      <c r="L15" s="144">
        <v>40720981000</v>
      </c>
      <c r="N15" s="148" t="s">
        <v>1023</v>
      </c>
      <c r="O15" s="144">
        <v>1995046049</v>
      </c>
      <c r="Q15" s="148" t="s">
        <v>1022</v>
      </c>
      <c r="R15" s="144">
        <v>436463691636</v>
      </c>
    </row>
    <row r="16" spans="2:18" x14ac:dyDescent="0.2">
      <c r="K16" s="148" t="s">
        <v>1015</v>
      </c>
      <c r="L16" s="144">
        <v>139749120</v>
      </c>
      <c r="N16" s="148" t="s">
        <v>1022</v>
      </c>
      <c r="O16" s="144">
        <v>134839668268</v>
      </c>
      <c r="Q16" s="149" t="s">
        <v>1025</v>
      </c>
      <c r="R16" s="144">
        <v>59311510793</v>
      </c>
    </row>
    <row r="17" spans="5:18" x14ac:dyDescent="0.2">
      <c r="E17" s="139" t="s">
        <v>1041</v>
      </c>
      <c r="F17" s="144" t="s">
        <v>1043</v>
      </c>
      <c r="K17" s="148" t="s">
        <v>1017</v>
      </c>
      <c r="L17" s="144">
        <v>553814942534</v>
      </c>
      <c r="N17" s="141" t="s">
        <v>1007</v>
      </c>
      <c r="O17" s="144">
        <v>21609919205</v>
      </c>
      <c r="Q17" s="149" t="s">
        <v>1024</v>
      </c>
      <c r="R17" s="144">
        <v>377152180843</v>
      </c>
    </row>
    <row r="18" spans="5:18" x14ac:dyDescent="0.2">
      <c r="E18" s="140" t="s">
        <v>1003</v>
      </c>
      <c r="F18" s="144">
        <v>70821787091</v>
      </c>
      <c r="K18" s="141" t="s">
        <v>1008</v>
      </c>
      <c r="L18" s="144">
        <v>75255807463</v>
      </c>
      <c r="N18" s="148" t="s">
        <v>1023</v>
      </c>
      <c r="O18" s="144">
        <v>1500000000</v>
      </c>
      <c r="Q18" s="141" t="s">
        <v>1005</v>
      </c>
      <c r="R18" s="144">
        <v>594675672654</v>
      </c>
    </row>
    <row r="19" spans="5:18" x14ac:dyDescent="0.2">
      <c r="E19" s="141" t="s">
        <v>1012</v>
      </c>
      <c r="F19" s="144">
        <v>53826083191</v>
      </c>
      <c r="K19" s="148" t="s">
        <v>1016</v>
      </c>
      <c r="L19" s="144">
        <v>28764228573</v>
      </c>
      <c r="N19" s="148" t="s">
        <v>1022</v>
      </c>
      <c r="O19" s="144">
        <v>20109919205</v>
      </c>
      <c r="Q19" s="148" t="s">
        <v>1023</v>
      </c>
      <c r="R19" s="144">
        <v>600000000</v>
      </c>
    </row>
    <row r="20" spans="5:18" x14ac:dyDescent="0.2">
      <c r="E20" s="141" t="s">
        <v>1039</v>
      </c>
      <c r="F20" s="144">
        <v>0</v>
      </c>
      <c r="K20" s="148" t="s">
        <v>1015</v>
      </c>
      <c r="L20" s="144">
        <v>46491578890</v>
      </c>
      <c r="N20" s="141" t="s">
        <v>1044</v>
      </c>
      <c r="O20" s="144">
        <v>1461361887</v>
      </c>
      <c r="Q20" s="149" t="s">
        <v>1031</v>
      </c>
      <c r="R20" s="144">
        <v>0</v>
      </c>
    </row>
    <row r="21" spans="5:18" x14ac:dyDescent="0.2">
      <c r="E21" s="141" t="s">
        <v>1009</v>
      </c>
      <c r="F21" s="144">
        <v>707000000</v>
      </c>
      <c r="K21" s="141" t="s">
        <v>1006</v>
      </c>
      <c r="L21" s="144">
        <v>136834714317</v>
      </c>
      <c r="N21" s="148" t="s">
        <v>1023</v>
      </c>
      <c r="O21" s="144">
        <v>1461361887</v>
      </c>
      <c r="Q21" s="149" t="s">
        <v>1028</v>
      </c>
      <c r="R21" s="144">
        <v>600000000</v>
      </c>
    </row>
    <row r="22" spans="5:18" x14ac:dyDescent="0.2">
      <c r="E22" s="141" t="s">
        <v>1011</v>
      </c>
      <c r="F22" s="144">
        <v>2327000000</v>
      </c>
      <c r="K22" s="148" t="s">
        <v>1016</v>
      </c>
      <c r="L22" s="144">
        <v>20568739286</v>
      </c>
      <c r="N22" s="148" t="s">
        <v>1022</v>
      </c>
      <c r="O22" s="144">
        <v>0</v>
      </c>
      <c r="Q22" s="149" t="s">
        <v>1030</v>
      </c>
      <c r="R22" s="144"/>
    </row>
    <row r="23" spans="5:18" x14ac:dyDescent="0.2">
      <c r="E23" s="141" t="s">
        <v>1010</v>
      </c>
      <c r="F23" s="144"/>
      <c r="K23" s="148" t="s">
        <v>1021</v>
      </c>
      <c r="L23" s="144">
        <v>87888528063</v>
      </c>
      <c r="N23" s="140" t="s">
        <v>1042</v>
      </c>
      <c r="O23" s="144">
        <v>1268751167162</v>
      </c>
      <c r="Q23" s="148" t="s">
        <v>1022</v>
      </c>
      <c r="R23" s="144">
        <v>594075672654</v>
      </c>
    </row>
    <row r="24" spans="5:18" x14ac:dyDescent="0.2">
      <c r="E24" s="141" t="s">
        <v>1037</v>
      </c>
      <c r="F24" s="144">
        <v>9955331400</v>
      </c>
      <c r="K24" s="148" t="s">
        <v>1017</v>
      </c>
      <c r="L24" s="144">
        <v>28377446968</v>
      </c>
      <c r="Q24" s="149" t="s">
        <v>1025</v>
      </c>
      <c r="R24" s="144">
        <v>594075672654</v>
      </c>
    </row>
    <row r="25" spans="5:18" x14ac:dyDescent="0.2">
      <c r="E25" s="141" t="s">
        <v>1038</v>
      </c>
      <c r="F25" s="144">
        <v>4006372500</v>
      </c>
      <c r="K25" s="141" t="s">
        <v>1007</v>
      </c>
      <c r="L25" s="144">
        <v>21609919205</v>
      </c>
      <c r="Q25" s="141" t="s">
        <v>1008</v>
      </c>
      <c r="R25" s="144">
        <v>75255807463</v>
      </c>
    </row>
    <row r="26" spans="5:18" x14ac:dyDescent="0.2">
      <c r="E26" s="140" t="s">
        <v>1042</v>
      </c>
      <c r="F26" s="144">
        <v>70821787091</v>
      </c>
      <c r="K26" s="148" t="s">
        <v>1015</v>
      </c>
      <c r="L26" s="144">
        <v>21609919205</v>
      </c>
      <c r="Q26" s="148" t="s">
        <v>1023</v>
      </c>
      <c r="R26" s="144">
        <v>37500000000</v>
      </c>
    </row>
    <row r="27" spans="5:18" x14ac:dyDescent="0.2">
      <c r="K27" s="141" t="s">
        <v>1044</v>
      </c>
      <c r="L27" s="144">
        <v>1461361887</v>
      </c>
      <c r="Q27" s="149" t="s">
        <v>1031</v>
      </c>
      <c r="R27" s="144"/>
    </row>
    <row r="28" spans="5:18" x14ac:dyDescent="0.2">
      <c r="K28" s="148" t="s">
        <v>1015</v>
      </c>
      <c r="L28" s="144">
        <v>1461361887</v>
      </c>
      <c r="Q28" s="149" t="s">
        <v>1028</v>
      </c>
      <c r="R28" s="144">
        <v>0</v>
      </c>
    </row>
    <row r="29" spans="5:18" x14ac:dyDescent="0.2">
      <c r="K29" s="140" t="s">
        <v>1042</v>
      </c>
      <c r="L29" s="144">
        <v>1268751167162</v>
      </c>
      <c r="Q29" s="149" t="s">
        <v>1033</v>
      </c>
      <c r="R29" s="144">
        <v>37500000000</v>
      </c>
    </row>
    <row r="30" spans="5:18" x14ac:dyDescent="0.2">
      <c r="Q30" s="149" t="s">
        <v>1030</v>
      </c>
      <c r="R30" s="144"/>
    </row>
    <row r="31" spans="5:18" x14ac:dyDescent="0.2">
      <c r="Q31" s="148" t="s">
        <v>1022</v>
      </c>
      <c r="R31" s="144">
        <v>37755807463</v>
      </c>
    </row>
    <row r="32" spans="5:18" x14ac:dyDescent="0.2">
      <c r="Q32" s="149" t="s">
        <v>1025</v>
      </c>
      <c r="R32" s="144">
        <v>1200000000</v>
      </c>
    </row>
    <row r="33" spans="17:18" x14ac:dyDescent="0.2">
      <c r="Q33" s="149" t="s">
        <v>1024</v>
      </c>
      <c r="R33" s="144">
        <v>36555807463</v>
      </c>
    </row>
    <row r="34" spans="17:18" x14ac:dyDescent="0.2">
      <c r="Q34" s="141" t="s">
        <v>1006</v>
      </c>
      <c r="R34" s="144">
        <v>136834714317</v>
      </c>
    </row>
    <row r="35" spans="17:18" x14ac:dyDescent="0.2">
      <c r="Q35" s="148" t="s">
        <v>1023</v>
      </c>
      <c r="R35" s="144">
        <v>1995046049</v>
      </c>
    </row>
    <row r="36" spans="17:18" x14ac:dyDescent="0.2">
      <c r="Q36" s="149" t="s">
        <v>1031</v>
      </c>
      <c r="R36" s="144">
        <v>0</v>
      </c>
    </row>
    <row r="37" spans="17:18" x14ac:dyDescent="0.2">
      <c r="Q37" s="149" t="s">
        <v>1028</v>
      </c>
      <c r="R37" s="144">
        <v>300000000</v>
      </c>
    </row>
    <row r="38" spans="17:18" x14ac:dyDescent="0.2">
      <c r="Q38" s="149" t="s">
        <v>1030</v>
      </c>
      <c r="R38" s="144">
        <v>0</v>
      </c>
    </row>
    <row r="39" spans="17:18" x14ac:dyDescent="0.2">
      <c r="Q39" s="149" t="s">
        <v>1035</v>
      </c>
      <c r="R39" s="144">
        <v>1695046049</v>
      </c>
    </row>
    <row r="40" spans="17:18" x14ac:dyDescent="0.2">
      <c r="Q40" s="148" t="s">
        <v>1022</v>
      </c>
      <c r="R40" s="144">
        <v>134839668268</v>
      </c>
    </row>
    <row r="41" spans="17:18" x14ac:dyDescent="0.2">
      <c r="Q41" s="149" t="s">
        <v>1025</v>
      </c>
      <c r="R41" s="144">
        <v>133866047897</v>
      </c>
    </row>
    <row r="42" spans="17:18" x14ac:dyDescent="0.2">
      <c r="Q42" s="149" t="s">
        <v>1024</v>
      </c>
      <c r="R42" s="144">
        <v>973620371</v>
      </c>
    </row>
    <row r="43" spans="17:18" x14ac:dyDescent="0.2">
      <c r="Q43" s="141" t="s">
        <v>1007</v>
      </c>
      <c r="R43" s="144">
        <v>21609919205</v>
      </c>
    </row>
    <row r="44" spans="17:18" x14ac:dyDescent="0.2">
      <c r="Q44" s="148" t="s">
        <v>1023</v>
      </c>
      <c r="R44" s="144">
        <v>1500000000</v>
      </c>
    </row>
    <row r="45" spans="17:18" x14ac:dyDescent="0.2">
      <c r="Q45" s="149" t="s">
        <v>1028</v>
      </c>
      <c r="R45" s="144">
        <v>1500000000</v>
      </c>
    </row>
    <row r="46" spans="17:18" x14ac:dyDescent="0.2">
      <c r="Q46" s="149" t="s">
        <v>1030</v>
      </c>
      <c r="R46" s="144">
        <v>0</v>
      </c>
    </row>
    <row r="47" spans="17:18" x14ac:dyDescent="0.2">
      <c r="Q47" s="148" t="s">
        <v>1022</v>
      </c>
      <c r="R47" s="144">
        <v>20109919205</v>
      </c>
    </row>
    <row r="48" spans="17:18" x14ac:dyDescent="0.2">
      <c r="Q48" s="149" t="s">
        <v>1025</v>
      </c>
      <c r="R48" s="144">
        <v>20109919205</v>
      </c>
    </row>
    <row r="49" spans="17:18" x14ac:dyDescent="0.2">
      <c r="Q49" s="141" t="s">
        <v>1044</v>
      </c>
      <c r="R49" s="144">
        <v>1461361887</v>
      </c>
    </row>
    <row r="50" spans="17:18" x14ac:dyDescent="0.2">
      <c r="Q50" s="148" t="s">
        <v>1023</v>
      </c>
      <c r="R50" s="144">
        <v>1461361887</v>
      </c>
    </row>
    <row r="51" spans="17:18" x14ac:dyDescent="0.2">
      <c r="Q51" s="149" t="s">
        <v>1034</v>
      </c>
      <c r="R51" s="144">
        <v>1461361887</v>
      </c>
    </row>
    <row r="52" spans="17:18" x14ac:dyDescent="0.2">
      <c r="Q52" s="149" t="s">
        <v>1028</v>
      </c>
      <c r="R52" s="144">
        <v>0</v>
      </c>
    </row>
    <row r="53" spans="17:18" x14ac:dyDescent="0.2">
      <c r="Q53" s="149" t="s">
        <v>1030</v>
      </c>
      <c r="R53" s="144">
        <v>0</v>
      </c>
    </row>
    <row r="54" spans="17:18" x14ac:dyDescent="0.2">
      <c r="Q54" s="148" t="s">
        <v>1022</v>
      </c>
      <c r="R54" s="144">
        <v>0</v>
      </c>
    </row>
    <row r="55" spans="17:18" x14ac:dyDescent="0.2">
      <c r="Q55" s="149" t="s">
        <v>1025</v>
      </c>
      <c r="R55" s="144">
        <v>0</v>
      </c>
    </row>
    <row r="56" spans="17:18" x14ac:dyDescent="0.2">
      <c r="Q56" s="140" t="s">
        <v>1042</v>
      </c>
      <c r="R56" s="144">
        <v>1268751167162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PF INICIAL</vt:lpstr>
      <vt:lpstr>PF AJUSTE # 1</vt:lpstr>
      <vt:lpstr>PF AJUSTE 2</vt:lpstr>
      <vt:lpstr>PRUEBAS 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RicardoTarquino</dc:creator>
  <cp:lastModifiedBy>willian borrero</cp:lastModifiedBy>
  <dcterms:created xsi:type="dcterms:W3CDTF">2025-09-20T14:29:29Z</dcterms:created>
  <dcterms:modified xsi:type="dcterms:W3CDTF">2026-01-25T15:49:15Z</dcterms:modified>
</cp:coreProperties>
</file>